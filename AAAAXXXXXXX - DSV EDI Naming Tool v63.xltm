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svcorp-my.sharepoint.com/personal/jens_l_larsen_dsv_com/Documents/02 Non-setup Tasks/Tech Team/Deploy Documentation templates/Naming Tool - New/"/>
    </mc:Choice>
  </mc:AlternateContent>
  <xr:revisionPtr revIDLastSave="0" documentId="13_ncr:1_{812043DE-5E18-4398-B14F-9AFBC17697F8}" xr6:coauthVersionLast="47" xr6:coauthVersionMax="47" xr10:uidLastSave="{00000000-0000-0000-0000-000000000000}"/>
  <bookViews>
    <workbookView xWindow="0" yWindow="0" windowWidth="38400" windowHeight="20880" tabRatio="699" activeTab="3" xr2:uid="{00000000-000D-0000-FFFF-FFFF00000000}"/>
  </bookViews>
  <sheets>
    <sheet name="Document Control" sheetId="21" r:id="rId1"/>
    <sheet name="Info" sheetId="20" r:id="rId2"/>
    <sheet name="Selection" sheetId="18" r:id="rId3"/>
    <sheet name="Master data" sheetId="1" r:id="rId4"/>
    <sheet name="Resource and file naming" sheetId="13" r:id="rId5"/>
    <sheet name="DSV FW" sheetId="19" r:id="rId6"/>
    <sheet name="Identities" sheetId="2" r:id="rId7"/>
    <sheet name="Encoding" sheetId="14" r:id="rId8"/>
    <sheet name="Source ID lookup" sheetId="15" r:id="rId9"/>
    <sheet name="User accounts" sheetId="7" r:id="rId10"/>
    <sheet name="Mailboxes" sheetId="6" r:id="rId11"/>
    <sheet name="Virtual roots" sheetId="9" r:id="rId12"/>
    <sheet name="Routing rules" sheetId="11" r:id="rId13"/>
    <sheet name="FTP Client" sheetId="22" r:id="rId14"/>
    <sheet name="SFTP Client" sheetId="24" r:id="rId15"/>
    <sheet name="SFTP Server SSH Keys" sheetId="8" r:id="rId16"/>
    <sheet name="AS2" sheetId="12" r:id="rId17"/>
    <sheet name="Certificates" sheetId="10" r:id="rId18"/>
    <sheet name="Mail client adapter settings" sheetId="4" r:id="rId19"/>
    <sheet name="SI HTTP URI settings" sheetId="5" r:id="rId20"/>
    <sheet name="HTTP(S) Client profiles" sheetId="27" r:id="rId21"/>
    <sheet name="Control Number" sheetId="16" r:id="rId22"/>
    <sheet name="DropDown - DO NOT EDIT" sheetId="17" r:id="rId23"/>
    <sheet name="Tech Team Notes" sheetId="28" r:id="rId24"/>
  </sheets>
  <externalReferences>
    <externalReference r:id="rId25"/>
  </externalReferences>
  <definedNames>
    <definedName name="_xlnm._FilterDatabase" localSheetId="0" hidden="1">'Document Control'!$A$1:$D$21</definedName>
    <definedName name="_xlnm._FilterDatabase" localSheetId="13" hidden="1">'FTP Client'!$A$1:$D$86</definedName>
    <definedName name="_xlnm._FilterDatabase" localSheetId="3" hidden="1">'Master data'!$A$1:$C$23</definedName>
    <definedName name="_xlnm._FilterDatabase" localSheetId="4" hidden="1">'Resource and file naming'!$A$1:$C$52</definedName>
    <definedName name="_xlnm._FilterDatabase" localSheetId="2" hidden="1">Selection!$A$1:$B$28</definedName>
    <definedName name="_xlnm._FilterDatabase" localSheetId="14" hidden="1">'SFTP Client'!$A$1:$D$77</definedName>
    <definedName name="_xlnm._FilterDatabase" localSheetId="8" hidden="1">'Source ID lookup'!$A$1:$C$28</definedName>
    <definedName name="_xlnm._FilterDatabase" localSheetId="23" hidden="1">'Tech Team Notes'!$A$1:$B$2</definedName>
    <definedName name="_xleta.TYPE" hidden="1" xlm="1">#NAME?</definedName>
    <definedName name="AS2MessageType1">'AS2'!$D$13</definedName>
    <definedName name="AS2MessageType2">'AS2'!$D$74</definedName>
    <definedName name="AS2MessageType3">'AS2'!$D$135</definedName>
    <definedName name="AS2MessageType4">'AS2'!$D$196</definedName>
    <definedName name="AS2MIMESubTypes">'DropDown - DO NOT EDIT'!$O$2:$O$5</definedName>
    <definedName name="AS2VANSPartner">'AS2'!$D$7</definedName>
    <definedName name="BatchMailboxMessageType1">Mailboxes!$B$179</definedName>
    <definedName name="BatchMailboxMessageType2">Mailboxes!$B$200</definedName>
    <definedName name="BatchMailboxMessageType3">Mailboxes!$B$221</definedName>
    <definedName name="BatchMailboxMessageType4">Mailboxes!$B$242</definedName>
    <definedName name="BatchRootMailbox">Mailboxes!$D$153</definedName>
    <definedName name="ClientFTPBPName1">'FTP Client'!$D$55</definedName>
    <definedName name="ClientFTPBPName1Test">'FTP Client'!$E$55</definedName>
    <definedName name="ClientFTPBPName2">'FTP Client'!$D$130</definedName>
    <definedName name="ClientFTPBPName2Test">'FTP Client'!$E$130</definedName>
    <definedName name="ClientFTPBPVersion1">'FTP Client'!$B$52</definedName>
    <definedName name="ClientFTPBPVersion2">'FTP Client'!$B$127</definedName>
    <definedName name="ClientFTPDNSOrIP">'FTP Client'!$B$6</definedName>
    <definedName name="ClientFTPDNSOrIPTest">'FTP Client'!$C$6</definedName>
    <definedName name="ClientFTPLoginName">'FTP Client'!$B$5</definedName>
    <definedName name="ClientFTPLoginNameTest">'FTP Client'!$C$5</definedName>
    <definedName name="ClientFTPMessageType1">'FTP Client'!$B$16</definedName>
    <definedName name="ClientFTPMessageType2">'FTP Client'!$B$93</definedName>
    <definedName name="ClientFTPNewProfileName1">'FTP Client'!$A$46</definedName>
    <definedName name="ClientFTPNewProfileName1Test">'FTP Client'!$B$46</definedName>
    <definedName name="ClientFTPNewProfileName2">'FTP Client'!$A$123</definedName>
    <definedName name="ClientFTPNewProfileName2Test">'FTP Client'!$B$123</definedName>
    <definedName name="ClientFTPPartnerInCamelNotation" localSheetId="14">'SFTP Client'!$B$14</definedName>
    <definedName name="ClientFTPPassword">'FTP Client'!$B$8</definedName>
    <definedName name="ClientFTPPasswordTest">'FTP Client'!$C$8</definedName>
    <definedName name="ClientFTPPort">'FTP Client'!$B$7</definedName>
    <definedName name="ClientFTPPortTest">'FTP Client'!$C$7</definedName>
    <definedName name="ClientFTPProfileName1">'FTP Client'!$D$23</definedName>
    <definedName name="ClientFTPProfileName1Test">'FTP Client'!$E$23</definedName>
    <definedName name="ClientFTPProfileName2">'FTP Client'!$D$100</definedName>
    <definedName name="ClientFTPProfileName2Test">'FTP Client'!$E$100</definedName>
    <definedName name="ClientHTTPCACertDescription">'HTTP(S) Client profiles'!$B$42</definedName>
    <definedName name="ClientHTTPClientCertAuthUsed">'HTTP(S) Client profiles'!$B$43</definedName>
    <definedName name="ClientHTTPLoginRequired">'HTTP(S) Client profiles'!$B$59</definedName>
    <definedName name="ClientHTTPProdDNSOrIP" localSheetId="20">'HTTP(S) Client profiles'!$B$8</definedName>
    <definedName name="ClientHTTPProdLoginName" localSheetId="20">'HTTP(S) Client profiles'!$B$10</definedName>
    <definedName name="ClientHTTPProdPortNumber" localSheetId="20">'HTTP(S) Client profiles'!$B$9</definedName>
    <definedName name="ClientHTTPTestDNSOrIP" localSheetId="20">'HTTP(S) Client profiles'!$C$8</definedName>
    <definedName name="ClientHTTPTestLoginName" localSheetId="20">'HTTP(S) Client profiles'!$C$10</definedName>
    <definedName name="ClientHTTPTestPortNumber" localSheetId="20">'HTTP(S) Client profiles'!$C$9</definedName>
    <definedName name="ClientHTTPUseSSL">'HTTP(S) Client profiles'!$B$3</definedName>
    <definedName name="ClientSFTPBPName1">'SFTP Client'!$D$46</definedName>
    <definedName name="ClientSFTPBPName1Test">'SFTP Client'!$E$46</definedName>
    <definedName name="ClientSFTPBPName2">'SFTP Client'!$D$114</definedName>
    <definedName name="ClientSFTPBPName2Test">'SFTP Client'!$E$114</definedName>
    <definedName name="ClientSFTPBPVersion1">'SFTP Client'!$B$43</definedName>
    <definedName name="ClientSFTPBPVersion2">'SFTP Client'!$B$111</definedName>
    <definedName name="ClientSFTPDNSOrIP">'SFTP Client'!$B$6</definedName>
    <definedName name="ClientSFTPDNSOrIPTest">'SFTP Client'!$C$6</definedName>
    <definedName name="ClientSFTPKhk">'SFTP Client'!$D$25</definedName>
    <definedName name="ClientSFTPKhkTest">'SFTP Client'!$E$25</definedName>
    <definedName name="ClientSFTPLoginName">'SFTP Client'!$B$5</definedName>
    <definedName name="ClientSFTPLoginNameTest">'SFTP Client'!$C$5</definedName>
    <definedName name="ClientSFTPMessageType1">'SFTP Client'!$B$16</definedName>
    <definedName name="ClientSFTPMessageType2">'SFTP Client'!$B$84</definedName>
    <definedName name="ClientSFTPPartnerInCamelNotation">'SFTP Client'!$B$10</definedName>
    <definedName name="ClientSFTPPassword">'SFTP Client'!$B$8</definedName>
    <definedName name="ClientSFTPPasswordTest">'SFTP Client'!$C$8</definedName>
    <definedName name="ClientSFTPPort">'SFTP Client'!$B$7</definedName>
    <definedName name="ClientSFTPPortTest">'SFTP Client'!$C$7</definedName>
    <definedName name="ClientSFTPProfileName1">'SFTP Client'!$D$22</definedName>
    <definedName name="ClientSFTPProfileName1Test">'SFTP Client'!$E$22</definedName>
    <definedName name="ClientSFTPProfileName2">'SFTP Client'!$D$90</definedName>
    <definedName name="ClientSFTPProfileName2Test">'SFTP Client'!$E$90</definedName>
    <definedName name="ClientSFTPServerInsideDSVNetwork1">'SFTP Client'!$B$17</definedName>
    <definedName name="ClientSFTPServerInsideDSVNetwork2">'SFTP Client'!$B$85</definedName>
    <definedName name="ClientSFTPServerInsideDSVNetworkQuestion1">'SFTP Client'!$A$17</definedName>
    <definedName name="ClientSFTPServerInsideDSVNetworkQuestion2">'SFTP Client'!$A$85</definedName>
    <definedName name="ClientSFTPUik">'SFTP Client'!$D$29</definedName>
    <definedName name="ClientSFTPUikTest">'SFTP Client'!$E$29</definedName>
    <definedName name="CodeList1Description">'Master data'!#REF!</definedName>
    <definedName name="CodeList1System">'Master data'!#REF!</definedName>
    <definedName name="ConfigureAS2">Selection!$B$9</definedName>
    <definedName name="ConfigureCertificates">Selection!$B$10</definedName>
    <definedName name="ConfigureControlNumbers">Selection!$B$13</definedName>
    <definedName name="ConfigureHTTPURIAdapter">Selection!$B$11</definedName>
    <definedName name="ConfigureMailboxes">Selection!$B$6</definedName>
    <definedName name="ConfigureMailClientAdapter">Selection!$B$12</definedName>
    <definedName name="ConfigureRoutingRule">Selection!$B$7</definedName>
    <definedName name="ConfigureSSHKeys">Selection!$B$8</definedName>
    <definedName name="CorporateEdiOrEbip">'DropDown - DO NOT EDIT'!$AA$2:$AA$3</definedName>
    <definedName name="DelayMailboxMessageType1">Mailboxes!$B$63</definedName>
    <definedName name="DelayMailboxMessageType2">Mailboxes!$B$84</definedName>
    <definedName name="DelayMailboxMessageType3">Mailboxes!$B$105</definedName>
    <definedName name="DelayMailboxMessageType4">Mailboxes!$B$126</definedName>
    <definedName name="DelayRootMailbox">Mailboxes!$D$37</definedName>
    <definedName name="desc">[1]Sheet1!$1:$1048576</definedName>
    <definedName name="Direction">'DropDown - DO NOT EDIT'!$M$2:$M$3</definedName>
    <definedName name="DSVSystem">'DropDown - DO NOT EDIT'!$F$3:$F$21</definedName>
    <definedName name="DSVSystemAbbrToDescrVLOOKUP">'DropDown - DO NOT EDIT'!$E$28:$F$40</definedName>
    <definedName name="DSVSystemITX">'DropDown - DO NOT EDIT'!$G$2:$G$21</definedName>
    <definedName name="DSVSystemITXLookup">'DropDown - DO NOT EDIT'!$F$2:$G$21</definedName>
    <definedName name="EmailUser">'Mail client adapter settings'!$D$3</definedName>
    <definedName name="EmailUser5Characters">'Mail client adapter settings'!$D$5</definedName>
    <definedName name="Encoding">'Master data'!$B$8</definedName>
    <definedName name="environment">'DropDown - DO NOT EDIT'!$H$2:$H$5</definedName>
    <definedName name="Framework">'Master data'!$B$14</definedName>
    <definedName name="Frameworks">'DropDown - DO NOT EDIT'!$P$2:$P$3</definedName>
    <definedName name="FTPGETVersion1">'FTP Client'!$B$52</definedName>
    <definedName name="FWIdentityOrgNameTypes">'DropDown - DO NOT EDIT'!$Y$3:$Y$6</definedName>
    <definedName name="FWIdentityOrgNameTypesDescrVLOOKUP">'DropDown - DO NOT EDIT'!$Y$3:$Z$6</definedName>
    <definedName name="InboundRequired">Selection!$B$3</definedName>
    <definedName name="InboxOrOutbox">'DropDown - DO NOT EDIT'!$B$2:$B$3</definedName>
    <definedName name="IsProtocolSFTP" localSheetId="14">'SFTP Client'!$B$3</definedName>
    <definedName name="ITACFWRuleAbbreviation">'DropDown - DO NOT EDIT'!$D$2:$D$11</definedName>
    <definedName name="MailboxProtocol" comment="MailboxProtocol when DSV acting as server">'Master data'!$B$15</definedName>
    <definedName name="MailClientAdapterCACertificates">'DropDown - DO NOT EDIT'!$X$2</definedName>
    <definedName name="Mandatory">'DropDown - DO NOT EDIT'!$N$2</definedName>
    <definedName name="Map1DestinationMessageType">'Master data'!#REF!</definedName>
    <definedName name="Map1DestinationMessageTypeITX">'Master data'!#REF!</definedName>
    <definedName name="Map1DestinationVersion">'Master data'!#REF!</definedName>
    <definedName name="Map1DifferenceChar">'Master data'!#REF!</definedName>
    <definedName name="Map1Direction">'Master data'!#REF!</definedName>
    <definedName name="Map1FNXFunctionality">'Master data'!#REF!</definedName>
    <definedName name="Map1SourceAndDestinationFormat">'Master data'!#REF!</definedName>
    <definedName name="Map1SourceMessageType">'Master data'!#REF!</definedName>
    <definedName name="Map1SourceMessageTypeITX">'Master data'!#REF!</definedName>
    <definedName name="Map1SourceVersion">'Master data'!#REF!</definedName>
    <definedName name="Map1SplitMapFlag">'Master data'!#REF!</definedName>
    <definedName name="Map1System">'Master data'!#REF!</definedName>
    <definedName name="Map2DestinationMessageType">'Master data'!#REF!</definedName>
    <definedName name="Map2DestinationMessageTypeITX">'Master data'!#REF!</definedName>
    <definedName name="Map2DestinationVersion">'Master data'!#REF!</definedName>
    <definedName name="Map2DifferenceChar">'Master data'!#REF!</definedName>
    <definedName name="Map2Direction">'Master data'!#REF!</definedName>
    <definedName name="Map2FNXFunctionality">'Master data'!#REF!</definedName>
    <definedName name="Map2SourceAndDestinationFormat">'Master data'!#REF!</definedName>
    <definedName name="Map2SourceMessageType">'Master data'!#REF!</definedName>
    <definedName name="Map2SourceMessageTypeITX">'Master data'!#REF!</definedName>
    <definedName name="Map2SourceVersion">'Master data'!#REF!</definedName>
    <definedName name="Map2SplitMapFlag">'Master data'!#REF!</definedName>
    <definedName name="Map2System">'Master data'!#REF!</definedName>
    <definedName name="MapTypeOptions">'DropDown - DO NOT EDIT'!$S$2:$S$3</definedName>
    <definedName name="MessageTypeAbbrToDescrVLOOKUP">'DropDown - DO NOT EDIT'!$V$3:$W$31</definedName>
    <definedName name="MessageTypeLookup">'DropDown - DO NOT EDIT'!$T$2:$U$680</definedName>
    <definedName name="NumberOfCodeLists">'Master data'!$B$20</definedName>
    <definedName name="NumberOfMaps">'Master data'!$B$19</definedName>
    <definedName name="NumberOfStylesheets">'Master data'!$B$21</definedName>
    <definedName name="OrgNameType">Identities!$B$1</definedName>
    <definedName name="OutboundRequired">Selection!$B$4</definedName>
    <definedName name="PartnerDesignation">'Master data'!$B$4</definedName>
    <definedName name="PartnerInboxParentMailbox">Mailboxes!$D$14</definedName>
    <definedName name="PartnerInCamelNotation">'SI HTTP URI settings'!$B$5</definedName>
    <definedName name="PartnerName">'Master data'!$B$3</definedName>
    <definedName name="PartnerName3PP">'Master data'!$B$9</definedName>
    <definedName name="PartnerType">'Master data'!$B$5</definedName>
    <definedName name="PartnerTypeRootMailbox">Mailboxes!$D$5</definedName>
    <definedName name="Platform">'Master data'!$B$13</definedName>
    <definedName name="ReceiveOrSend">'DropDown - DO NOT EDIT'!$K$2:$K$3</definedName>
    <definedName name="ResolvedPartnerId">'Master data'!$B$7</definedName>
    <definedName name="RITMNumber">'Master data'!$B$2</definedName>
    <definedName name="Source2DestinationFormatCombined">'DropDown - DO NOT EDIT'!$I$15:$I$83</definedName>
    <definedName name="SourceAndDestinationFormat">'DropDown - DO NOT EDIT'!$J$2:$J$8</definedName>
    <definedName name="SourceToDestinationFormatVLOOKUP">'DropDown - DO NOT EDIT'!$I$15:$J$83</definedName>
    <definedName name="SRQNumber">'Master data'!$B$2</definedName>
    <definedName name="TrueOrFalse">'DropDown - DO NOT EDIT'!$L$6:$L$7</definedName>
    <definedName name="TrustedDigitalCertificate">Certificates!$A$25</definedName>
    <definedName name="TrustedDigitalCertificateTest">Certificates!$C$25</definedName>
    <definedName name="TypeOfMap">'Master data'!$B$18</definedName>
    <definedName name="UnresolvedPartnerID">'Master data'!$B$6</definedName>
    <definedName name="UserAccount">'User accounts'!$D$5</definedName>
    <definedName name="UserType">'DropDown - DO NOT EDIT'!$A$2:$A$4</definedName>
    <definedName name="UseSSL">'SI HTTP URI settings'!$B$3</definedName>
    <definedName name="ValidEncodings">'DropDown - DO NOT EDIT'!$Q$2:$Q$105</definedName>
    <definedName name="YesOrNo">'DropDown - DO NOT EDIT'!$L$2:$L$3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5" i="24" l="1"/>
  <c r="A17" i="24"/>
  <c r="D132" i="24" l="1"/>
  <c r="D64" i="24"/>
  <c r="E90" i="24"/>
  <c r="D90" i="24"/>
  <c r="E22" i="24"/>
  <c r="D22" i="24"/>
  <c r="D10" i="11"/>
  <c r="D239" i="12" l="1"/>
  <c r="D178" i="12"/>
  <c r="D117" i="12"/>
  <c r="D56" i="12"/>
  <c r="B123" i="22"/>
  <c r="A123" i="22"/>
  <c r="B46" i="22" l="1"/>
  <c r="A46" i="22"/>
  <c r="E96" i="24"/>
  <c r="D96" i="24"/>
  <c r="E28" i="24"/>
  <c r="D28" i="24"/>
  <c r="D103" i="24" l="1"/>
  <c r="E103" i="24"/>
  <c r="E35" i="24"/>
  <c r="D35" i="24"/>
  <c r="B34" i="13"/>
  <c r="B33" i="13"/>
  <c r="B32" i="13"/>
  <c r="B31" i="13"/>
  <c r="B28" i="13"/>
  <c r="B27" i="13"/>
  <c r="B26" i="13"/>
  <c r="B25" i="13"/>
  <c r="B24" i="13"/>
  <c r="B23" i="13"/>
  <c r="B22" i="13"/>
  <c r="B21" i="13"/>
  <c r="B20" i="13"/>
  <c r="B19" i="13"/>
  <c r="B18" i="13"/>
  <c r="B15" i="13"/>
  <c r="B14" i="13"/>
  <c r="C1" i="2"/>
  <c r="B5" i="2"/>
  <c r="C15" i="13"/>
  <c r="C14" i="13"/>
  <c r="B36" i="27"/>
  <c r="A36" i="27"/>
  <c r="E18" i="27"/>
  <c r="E17" i="27"/>
  <c r="D18" i="27"/>
  <c r="D17" i="27"/>
  <c r="E116" i="24"/>
  <c r="D116" i="24"/>
  <c r="E114" i="24"/>
  <c r="D114" i="24"/>
  <c r="E48" i="24"/>
  <c r="D48" i="24"/>
  <c r="E46" i="24"/>
  <c r="D46" i="24"/>
  <c r="E132" i="22"/>
  <c r="D132" i="22"/>
  <c r="E130" i="22"/>
  <c r="D130" i="22"/>
  <c r="E100" i="22"/>
  <c r="D100" i="22"/>
  <c r="E57" i="22"/>
  <c r="D57" i="22"/>
  <c r="E55" i="22"/>
  <c r="D55" i="22"/>
  <c r="E23" i="22"/>
  <c r="D23" i="22"/>
  <c r="B5" i="13" l="1"/>
  <c r="D5" i="6" l="1"/>
  <c r="D6" i="7" a="1"/>
  <c r="D6" i="7" s="1"/>
  <c r="B8" i="2"/>
  <c r="B7" i="2"/>
  <c r="B27" i="2"/>
  <c r="G32" i="4"/>
  <c r="F32" i="4"/>
  <c r="E32" i="4"/>
  <c r="D32" i="4"/>
  <c r="G12" i="4"/>
  <c r="F12" i="4"/>
  <c r="E12" i="4"/>
  <c r="D12" i="4"/>
  <c r="G17" i="4"/>
  <c r="F17" i="4"/>
  <c r="E17" i="4"/>
  <c r="D17" i="4"/>
  <c r="D10" i="7" l="1"/>
  <c r="E50" i="27" l="1"/>
  <c r="I255" i="6" l="1"/>
  <c r="D255" i="6"/>
  <c r="I246" i="6"/>
  <c r="I234" i="6"/>
  <c r="D234" i="6"/>
  <c r="I259" i="6"/>
  <c r="I258" i="6"/>
  <c r="I257" i="6"/>
  <c r="I256" i="6"/>
  <c r="D259" i="6"/>
  <c r="D258" i="6"/>
  <c r="D257" i="6"/>
  <c r="D256" i="6"/>
  <c r="I250" i="6"/>
  <c r="I249" i="6"/>
  <c r="I248" i="6"/>
  <c r="I247" i="6"/>
  <c r="D250" i="6"/>
  <c r="D249" i="6"/>
  <c r="D248" i="6"/>
  <c r="D247" i="6"/>
  <c r="D246" i="6"/>
  <c r="I238" i="6"/>
  <c r="I237" i="6"/>
  <c r="I236" i="6"/>
  <c r="I235" i="6"/>
  <c r="I229" i="6"/>
  <c r="I227" i="6"/>
  <c r="I226" i="6"/>
  <c r="I228" i="6"/>
  <c r="I225" i="6"/>
  <c r="D238" i="6"/>
  <c r="D237" i="6"/>
  <c r="D236" i="6"/>
  <c r="D235" i="6"/>
  <c r="D229" i="6"/>
  <c r="D228" i="6"/>
  <c r="D227" i="6"/>
  <c r="D226" i="6"/>
  <c r="D225" i="6"/>
  <c r="I217" i="6"/>
  <c r="I216" i="6"/>
  <c r="I215" i="6"/>
  <c r="I214" i="6"/>
  <c r="I213" i="6"/>
  <c r="I208" i="6"/>
  <c r="I207" i="6"/>
  <c r="I206" i="6"/>
  <c r="I205" i="6"/>
  <c r="I204" i="6"/>
  <c r="D217" i="6"/>
  <c r="D216" i="6"/>
  <c r="D215" i="6"/>
  <c r="D214" i="6"/>
  <c r="D213" i="6"/>
  <c r="D208" i="6"/>
  <c r="D207" i="6"/>
  <c r="D206" i="6"/>
  <c r="D205" i="6"/>
  <c r="D204" i="6"/>
  <c r="I196" i="6"/>
  <c r="I195" i="6"/>
  <c r="I194" i="6"/>
  <c r="I192" i="6"/>
  <c r="I193" i="6"/>
  <c r="D196" i="6"/>
  <c r="D195" i="6"/>
  <c r="D194" i="6"/>
  <c r="D193" i="6"/>
  <c r="D192" i="6"/>
  <c r="I187" i="6"/>
  <c r="I186" i="6"/>
  <c r="I185" i="6"/>
  <c r="I184" i="6"/>
  <c r="I183" i="6"/>
  <c r="D187" i="6"/>
  <c r="D186" i="6"/>
  <c r="D185" i="6"/>
  <c r="D184" i="6"/>
  <c r="D183" i="6"/>
  <c r="I173" i="6"/>
  <c r="I164" i="6"/>
  <c r="D173" i="6"/>
  <c r="D164" i="6"/>
  <c r="D155" i="6"/>
  <c r="D153" i="6"/>
  <c r="I175" i="6"/>
  <c r="D175" i="6"/>
  <c r="I174" i="6"/>
  <c r="D174" i="6"/>
  <c r="I172" i="6"/>
  <c r="D172" i="6"/>
  <c r="I166" i="6"/>
  <c r="D166" i="6"/>
  <c r="I165" i="6"/>
  <c r="D165" i="6"/>
  <c r="I163" i="6"/>
  <c r="D163" i="6"/>
  <c r="D157" i="6"/>
  <c r="D156" i="6"/>
  <c r="D17" i="7" l="1"/>
  <c r="D15" i="7"/>
  <c r="D14" i="7"/>
  <c r="X2" i="17" l="1"/>
  <c r="D31" i="4"/>
  <c r="E51" i="27" l="1"/>
  <c r="E29" i="27"/>
  <c r="D51" i="27"/>
  <c r="D50" i="27"/>
  <c r="D49" i="27"/>
  <c r="D48" i="27"/>
  <c r="D47" i="27"/>
  <c r="D30" i="27"/>
  <c r="D29" i="27"/>
  <c r="D27" i="27"/>
  <c r="D26" i="27"/>
  <c r="D23" i="27"/>
  <c r="D25" i="27"/>
  <c r="D24" i="27"/>
  <c r="D22" i="27"/>
  <c r="D21" i="27"/>
  <c r="D20" i="27"/>
  <c r="D19" i="27"/>
  <c r="D15" i="4" l="1"/>
  <c r="E65" i="27" l="1"/>
  <c r="E64" i="27"/>
  <c r="E63" i="27"/>
  <c r="D65" i="27"/>
  <c r="D64" i="27"/>
  <c r="D63" i="27"/>
  <c r="D28" i="27"/>
  <c r="B42" i="13" l="1"/>
  <c r="B41" i="13"/>
  <c r="B49" i="13"/>
  <c r="B48" i="13"/>
  <c r="B47" i="13"/>
  <c r="E29" i="24" l="1"/>
  <c r="D29" i="24"/>
  <c r="E25" i="24"/>
  <c r="D25" i="24"/>
  <c r="D338" i="6" l="1"/>
  <c r="D265" i="12" l="1"/>
  <c r="C34" i="5" l="1"/>
  <c r="C18" i="5"/>
  <c r="B34" i="5"/>
  <c r="B18" i="5"/>
  <c r="D247" i="12"/>
  <c r="D186" i="12"/>
  <c r="D125" i="12"/>
  <c r="D64" i="12"/>
  <c r="D33" i="4"/>
  <c r="B247" i="12"/>
  <c r="B186" i="12"/>
  <c r="D250" i="12"/>
  <c r="C250" i="12"/>
  <c r="D249" i="12"/>
  <c r="C249" i="12"/>
  <c r="D248" i="12"/>
  <c r="C248" i="12"/>
  <c r="C247" i="12"/>
  <c r="D246" i="12"/>
  <c r="D189" i="12"/>
  <c r="C189" i="12"/>
  <c r="D188" i="12"/>
  <c r="C188" i="12"/>
  <c r="D187" i="12"/>
  <c r="C187" i="12"/>
  <c r="C186" i="12"/>
  <c r="D185" i="12"/>
  <c r="C127" i="12"/>
  <c r="C126" i="12"/>
  <c r="C125" i="12"/>
  <c r="C64" i="12"/>
  <c r="D128" i="12"/>
  <c r="D127" i="12"/>
  <c r="D126" i="12"/>
  <c r="C128" i="12"/>
  <c r="B125" i="12"/>
  <c r="D124" i="12"/>
  <c r="D67" i="12"/>
  <c r="D66" i="12"/>
  <c r="C67" i="12"/>
  <c r="C66" i="12"/>
  <c r="C65" i="12"/>
  <c r="D65" i="12"/>
  <c r="B64" i="12"/>
  <c r="D63" i="12"/>
  <c r="D102" i="22"/>
  <c r="D25" i="22"/>
  <c r="B26" i="2"/>
  <c r="B25" i="2"/>
  <c r="B6" i="2"/>
  <c r="B24" i="2"/>
  <c r="D266" i="12" l="1"/>
  <c r="D264" i="12"/>
  <c r="D262" i="12"/>
  <c r="D339" i="6"/>
  <c r="D337" i="6"/>
  <c r="D335" i="6"/>
  <c r="E130" i="24"/>
  <c r="D130" i="24"/>
  <c r="E128" i="24"/>
  <c r="D128" i="24"/>
  <c r="E127" i="24"/>
  <c r="E62" i="24"/>
  <c r="D62" i="24"/>
  <c r="E60" i="24"/>
  <c r="D60" i="24"/>
  <c r="E59" i="24"/>
  <c r="D59" i="24"/>
  <c r="D49" i="12"/>
  <c r="E41" i="12" l="1"/>
  <c r="E40" i="12"/>
  <c r="D231" i="12" l="1"/>
  <c r="D170" i="12"/>
  <c r="D109" i="12"/>
  <c r="D48" i="12"/>
  <c r="B33" i="5" l="1"/>
  <c r="C30" i="5"/>
  <c r="B30" i="5"/>
  <c r="C14" i="5"/>
  <c r="B14" i="5"/>
  <c r="C29" i="5" l="1"/>
  <c r="B29" i="5"/>
  <c r="C13" i="5"/>
  <c r="B13" i="5"/>
  <c r="A5" i="5"/>
  <c r="D39" i="12"/>
  <c r="D127" i="24"/>
  <c r="E146" i="22"/>
  <c r="D146" i="22"/>
  <c r="E144" i="22"/>
  <c r="D144" i="22"/>
  <c r="E143" i="22"/>
  <c r="D143" i="22"/>
  <c r="E71" i="22"/>
  <c r="E69" i="22"/>
  <c r="E68" i="22"/>
  <c r="D50" i="24"/>
  <c r="D118" i="24"/>
  <c r="D145" i="24"/>
  <c r="D143" i="24"/>
  <c r="D142" i="24"/>
  <c r="D141" i="24"/>
  <c r="D140" i="24"/>
  <c r="D139" i="24"/>
  <c r="D138" i="24"/>
  <c r="D131" i="24"/>
  <c r="D129" i="24"/>
  <c r="D126" i="24"/>
  <c r="E117" i="24"/>
  <c r="D115" i="24"/>
  <c r="D117" i="24"/>
  <c r="E105" i="24"/>
  <c r="E102" i="24"/>
  <c r="E101" i="24"/>
  <c r="E100" i="24"/>
  <c r="E104" i="24"/>
  <c r="E99" i="24"/>
  <c r="E98" i="24"/>
  <c r="E95" i="24"/>
  <c r="E94" i="24"/>
  <c r="E92" i="24"/>
  <c r="E91" i="24"/>
  <c r="D105" i="24"/>
  <c r="D104" i="24"/>
  <c r="D102" i="24"/>
  <c r="D101" i="24"/>
  <c r="D100" i="24"/>
  <c r="D99" i="24"/>
  <c r="D98" i="24"/>
  <c r="D95" i="24"/>
  <c r="D94" i="24"/>
  <c r="D92" i="24"/>
  <c r="D91" i="24"/>
  <c r="D77" i="24"/>
  <c r="D75" i="24"/>
  <c r="D74" i="24"/>
  <c r="D73" i="24"/>
  <c r="D72" i="24"/>
  <c r="D71" i="24"/>
  <c r="D70" i="24"/>
  <c r="D63" i="24"/>
  <c r="D61" i="24"/>
  <c r="D58" i="24"/>
  <c r="E49" i="24"/>
  <c r="D47" i="24"/>
  <c r="D49" i="24"/>
  <c r="E37" i="24"/>
  <c r="E36" i="24"/>
  <c r="E34" i="24"/>
  <c r="E33" i="24"/>
  <c r="E32" i="24"/>
  <c r="E31" i="24"/>
  <c r="E30" i="24"/>
  <c r="E97" i="24"/>
  <c r="E27" i="24"/>
  <c r="E26" i="24"/>
  <c r="E93" i="24"/>
  <c r="E24" i="24"/>
  <c r="E23" i="24"/>
  <c r="D37" i="24"/>
  <c r="D36" i="24"/>
  <c r="D34" i="24"/>
  <c r="D33" i="24"/>
  <c r="D32" i="24"/>
  <c r="D31" i="24"/>
  <c r="D30" i="24"/>
  <c r="D97" i="24"/>
  <c r="D27" i="24"/>
  <c r="D26" i="24"/>
  <c r="D93" i="24"/>
  <c r="D24" i="24"/>
  <c r="D23" i="24"/>
  <c r="D114" i="22"/>
  <c r="D161" i="22"/>
  <c r="D159" i="22"/>
  <c r="D158" i="22"/>
  <c r="D157" i="22"/>
  <c r="D156" i="22"/>
  <c r="D155" i="22"/>
  <c r="D154" i="22"/>
  <c r="D148" i="22"/>
  <c r="D147" i="22"/>
  <c r="D145" i="22"/>
  <c r="D142" i="22"/>
  <c r="E140" i="22"/>
  <c r="D134" i="22"/>
  <c r="D131" i="22"/>
  <c r="D133" i="22"/>
  <c r="E118" i="22"/>
  <c r="E117" i="22"/>
  <c r="E113" i="22"/>
  <c r="E112" i="22"/>
  <c r="E141" i="22"/>
  <c r="D118" i="22"/>
  <c r="D117" i="22"/>
  <c r="D116" i="22"/>
  <c r="D115" i="22"/>
  <c r="D113" i="22"/>
  <c r="D112" i="22"/>
  <c r="D111" i="22"/>
  <c r="D110" i="22"/>
  <c r="D109" i="22"/>
  <c r="D108" i="22"/>
  <c r="D107" i="22"/>
  <c r="D106" i="22"/>
  <c r="D105" i="22"/>
  <c r="D104" i="22"/>
  <c r="D103" i="22"/>
  <c r="D141" i="22"/>
  <c r="D99" i="22"/>
  <c r="E58" i="22" l="1"/>
  <c r="E133" i="22"/>
  <c r="D140" i="22"/>
  <c r="D101" i="22"/>
  <c r="E101" i="22"/>
  <c r="D86" i="22"/>
  <c r="D84" i="22"/>
  <c r="D83" i="22"/>
  <c r="D82" i="22"/>
  <c r="D81" i="22"/>
  <c r="D80" i="22"/>
  <c r="D79" i="22"/>
  <c r="D73" i="22"/>
  <c r="D72" i="22"/>
  <c r="D71" i="22"/>
  <c r="D70" i="22"/>
  <c r="D69" i="22"/>
  <c r="D68" i="22"/>
  <c r="D67" i="22"/>
  <c r="D59" i="22"/>
  <c r="D56" i="22"/>
  <c r="E41" i="22"/>
  <c r="E40" i="22"/>
  <c r="E36" i="22"/>
  <c r="E35" i="22"/>
  <c r="E24" i="22"/>
  <c r="D41" i="22"/>
  <c r="D40" i="22"/>
  <c r="D39" i="22"/>
  <c r="D38" i="22"/>
  <c r="D37" i="22"/>
  <c r="D36" i="22"/>
  <c r="D35" i="22"/>
  <c r="D34" i="22"/>
  <c r="D33" i="22"/>
  <c r="D32" i="22"/>
  <c r="D31" i="22"/>
  <c r="D30" i="22"/>
  <c r="D29" i="22"/>
  <c r="D28" i="22"/>
  <c r="D27" i="22"/>
  <c r="D26" i="22"/>
  <c r="D22" i="22"/>
  <c r="D85" i="22" l="1"/>
  <c r="D58" i="22"/>
  <c r="D24" i="22"/>
  <c r="G7" i="19"/>
  <c r="G8" i="19"/>
  <c r="G9" i="19"/>
  <c r="G20" i="19"/>
  <c r="G21" i="19"/>
  <c r="G22" i="19"/>
  <c r="G23" i="19"/>
  <c r="G24" i="19"/>
  <c r="G25" i="19"/>
  <c r="F7" i="19"/>
  <c r="F8" i="19"/>
  <c r="F9" i="19"/>
  <c r="F20" i="19"/>
  <c r="F21" i="19"/>
  <c r="F22" i="19"/>
  <c r="F23" i="19"/>
  <c r="F24" i="19"/>
  <c r="F25" i="19"/>
  <c r="D7" i="19"/>
  <c r="D8" i="19"/>
  <c r="D9" i="19"/>
  <c r="D20" i="19"/>
  <c r="D21" i="19"/>
  <c r="D22" i="19"/>
  <c r="D23" i="19"/>
  <c r="D24" i="19"/>
  <c r="D25" i="19"/>
  <c r="E124" i="24" l="1"/>
  <c r="E125" i="24"/>
  <c r="A10" i="24"/>
  <c r="D76" i="24" l="1"/>
  <c r="D57" i="24"/>
  <c r="E144" i="24"/>
  <c r="D125" i="24"/>
  <c r="E76" i="24"/>
  <c r="E57" i="24"/>
  <c r="D56" i="24" l="1"/>
  <c r="D124" i="24"/>
  <c r="E56" i="24"/>
  <c r="D144" i="24"/>
  <c r="C36" i="5" l="1"/>
  <c r="B36" i="5"/>
  <c r="C35" i="5"/>
  <c r="B35" i="5"/>
  <c r="C33" i="5"/>
  <c r="C32" i="5"/>
  <c r="B32" i="5"/>
  <c r="D160" i="22"/>
  <c r="E160" i="22" l="1"/>
  <c r="E65" i="22"/>
  <c r="E85" i="22"/>
  <c r="E66" i="22"/>
  <c r="I17" i="6" l="1"/>
  <c r="I26" i="6"/>
  <c r="D26" i="6"/>
  <c r="D17" i="6"/>
  <c r="D8" i="6"/>
  <c r="D65" i="22" l="1"/>
  <c r="D66" i="22"/>
  <c r="C20" i="5" l="1"/>
  <c r="C19" i="5"/>
  <c r="B20" i="5"/>
  <c r="B19" i="5"/>
  <c r="C17" i="5"/>
  <c r="B17" i="5"/>
  <c r="C16" i="5"/>
  <c r="B16" i="5"/>
  <c r="B11" i="14" l="1"/>
  <c r="B4" i="14"/>
  <c r="G6" i="19" l="1"/>
  <c r="F6" i="19"/>
  <c r="D6" i="19"/>
  <c r="D44" i="4" l="1"/>
  <c r="D43" i="4"/>
  <c r="D42" i="4"/>
  <c r="D41" i="4"/>
  <c r="D40" i="4"/>
  <c r="D39" i="4"/>
  <c r="D38" i="4"/>
  <c r="D37" i="4"/>
  <c r="D36" i="4"/>
  <c r="D35" i="4"/>
  <c r="D34" i="4"/>
  <c r="D30" i="4"/>
  <c r="D29" i="4"/>
  <c r="D28" i="4"/>
  <c r="D27" i="4"/>
  <c r="D26" i="4"/>
  <c r="D25" i="4"/>
  <c r="D24" i="4"/>
  <c r="D23" i="4"/>
  <c r="D22" i="4"/>
  <c r="D21" i="4"/>
  <c r="D20" i="4"/>
  <c r="D19" i="4"/>
  <c r="D16" i="4"/>
  <c r="D14" i="4"/>
  <c r="D13" i="4"/>
  <c r="D11" i="4"/>
  <c r="D10" i="4"/>
  <c r="B8" i="14" l="1"/>
  <c r="B1" i="14"/>
  <c r="D35" i="12"/>
  <c r="D34" i="12"/>
  <c r="D33" i="12"/>
  <c r="D31" i="12"/>
  <c r="D32" i="12"/>
  <c r="D29" i="12"/>
  <c r="D28" i="12"/>
  <c r="D140" i="6" l="1"/>
  <c r="I140" i="6"/>
  <c r="I131" i="6"/>
  <c r="D131" i="6"/>
  <c r="D119" i="6"/>
  <c r="I119" i="6"/>
  <c r="I110" i="6"/>
  <c r="D110" i="6"/>
  <c r="D98" i="6"/>
  <c r="I98" i="6"/>
  <c r="I89" i="6"/>
  <c r="D89" i="6"/>
  <c r="D77" i="6"/>
  <c r="I77" i="6"/>
  <c r="I68" i="6"/>
  <c r="D68" i="6"/>
  <c r="I143" i="6" l="1"/>
  <c r="D143" i="6"/>
  <c r="I142" i="6"/>
  <c r="D142" i="6"/>
  <c r="I141" i="6"/>
  <c r="D141" i="6"/>
  <c r="I139" i="6"/>
  <c r="D139" i="6"/>
  <c r="I134" i="6"/>
  <c r="D134" i="6"/>
  <c r="I133" i="6"/>
  <c r="D133" i="6"/>
  <c r="I132" i="6"/>
  <c r="D132" i="6"/>
  <c r="I130" i="6"/>
  <c r="I122" i="6"/>
  <c r="D122" i="6"/>
  <c r="I121" i="6"/>
  <c r="D121" i="6"/>
  <c r="I120" i="6"/>
  <c r="D120" i="6"/>
  <c r="I118" i="6"/>
  <c r="D118" i="6"/>
  <c r="I113" i="6"/>
  <c r="D113" i="6"/>
  <c r="I112" i="6"/>
  <c r="D112" i="6"/>
  <c r="I111" i="6"/>
  <c r="D111" i="6"/>
  <c r="I109" i="6"/>
  <c r="I101" i="6"/>
  <c r="D101" i="6"/>
  <c r="I100" i="6"/>
  <c r="D100" i="6"/>
  <c r="I99" i="6"/>
  <c r="D99" i="6"/>
  <c r="I97" i="6"/>
  <c r="D97" i="6"/>
  <c r="I92" i="6"/>
  <c r="D92" i="6"/>
  <c r="I91" i="6"/>
  <c r="D91" i="6"/>
  <c r="I90" i="6"/>
  <c r="D90" i="6"/>
  <c r="I88" i="6"/>
  <c r="I80" i="6"/>
  <c r="I79" i="6"/>
  <c r="I78" i="6"/>
  <c r="I76" i="6"/>
  <c r="I71" i="6"/>
  <c r="I70" i="6"/>
  <c r="I69" i="6"/>
  <c r="I67" i="6"/>
  <c r="D80" i="6"/>
  <c r="D79" i="6"/>
  <c r="D78" i="6"/>
  <c r="D76" i="6"/>
  <c r="D71" i="6"/>
  <c r="D70" i="6"/>
  <c r="D69" i="6"/>
  <c r="I57" i="6"/>
  <c r="D57" i="6"/>
  <c r="I48" i="6"/>
  <c r="D48" i="6"/>
  <c r="D41" i="6"/>
  <c r="D40" i="6"/>
  <c r="I59" i="6"/>
  <c r="I58" i="6"/>
  <c r="I50" i="6"/>
  <c r="I49" i="6"/>
  <c r="D59" i="6"/>
  <c r="D58" i="6"/>
  <c r="D50" i="6"/>
  <c r="D49" i="6"/>
  <c r="D39" i="6"/>
  <c r="D37" i="6"/>
  <c r="I56" i="6"/>
  <c r="D56" i="6"/>
  <c r="I47" i="6"/>
  <c r="D47" i="6"/>
  <c r="I25" i="6"/>
  <c r="I24" i="6"/>
  <c r="I16" i="6"/>
  <c r="I15" i="6"/>
  <c r="D130" i="6" l="1"/>
  <c r="D67" i="6"/>
  <c r="D88" i="6"/>
  <c r="D109" i="6"/>
  <c r="D226" i="12" l="1"/>
  <c r="D165" i="12"/>
  <c r="D104" i="12"/>
  <c r="D43" i="12"/>
  <c r="D240" i="12" l="1"/>
  <c r="D205" i="12"/>
  <c r="D203" i="12"/>
  <c r="D179" i="12"/>
  <c r="D144" i="12"/>
  <c r="D142" i="12"/>
  <c r="D118" i="12"/>
  <c r="D83" i="12"/>
  <c r="D81" i="12"/>
  <c r="D245" i="12"/>
  <c r="D244" i="12"/>
  <c r="D243" i="12"/>
  <c r="D242" i="12"/>
  <c r="D241" i="12"/>
  <c r="D232" i="12"/>
  <c r="D230" i="12"/>
  <c r="D229" i="12"/>
  <c r="D228" i="12"/>
  <c r="D227" i="12"/>
  <c r="D225" i="12"/>
  <c r="D224" i="12"/>
  <c r="D223" i="12"/>
  <c r="D222" i="12"/>
  <c r="D220" i="12"/>
  <c r="D219" i="12"/>
  <c r="D218" i="12"/>
  <c r="D217" i="12"/>
  <c r="D216" i="12"/>
  <c r="D215" i="12"/>
  <c r="D214" i="12"/>
  <c r="D213" i="12"/>
  <c r="D212" i="12"/>
  <c r="D211" i="12"/>
  <c r="D210" i="12"/>
  <c r="D209" i="12"/>
  <c r="D208" i="12"/>
  <c r="D206" i="12"/>
  <c r="D202" i="12"/>
  <c r="D201" i="12"/>
  <c r="D184" i="12"/>
  <c r="D183" i="12"/>
  <c r="D182" i="12"/>
  <c r="D181" i="12"/>
  <c r="D180" i="12"/>
  <c r="D171" i="12"/>
  <c r="D169" i="12"/>
  <c r="D168" i="12"/>
  <c r="D167" i="12"/>
  <c r="D166" i="12"/>
  <c r="D164" i="12"/>
  <c r="D163" i="12"/>
  <c r="D162" i="12"/>
  <c r="D161" i="12"/>
  <c r="D159" i="12"/>
  <c r="D158" i="12"/>
  <c r="D157" i="12"/>
  <c r="D156" i="12"/>
  <c r="D155" i="12"/>
  <c r="D154" i="12"/>
  <c r="D153" i="12"/>
  <c r="D152" i="12"/>
  <c r="D151" i="12"/>
  <c r="D150" i="12"/>
  <c r="D149" i="12"/>
  <c r="D148" i="12"/>
  <c r="D147" i="12"/>
  <c r="D145" i="12"/>
  <c r="D141" i="12"/>
  <c r="D140" i="12"/>
  <c r="D123" i="12"/>
  <c r="D122" i="12"/>
  <c r="D121" i="12"/>
  <c r="D120" i="12"/>
  <c r="D119" i="12"/>
  <c r="D110" i="12"/>
  <c r="D108" i="12"/>
  <c r="D107" i="12"/>
  <c r="D106" i="12"/>
  <c r="D105" i="12"/>
  <c r="D103" i="12"/>
  <c r="D102" i="12"/>
  <c r="D101" i="12"/>
  <c r="D100" i="12"/>
  <c r="D98" i="12"/>
  <c r="D97" i="12"/>
  <c r="D96" i="12"/>
  <c r="D95" i="12"/>
  <c r="D94" i="12"/>
  <c r="D93" i="12"/>
  <c r="D92" i="12"/>
  <c r="D91" i="12"/>
  <c r="D90" i="12"/>
  <c r="D89" i="12"/>
  <c r="D88" i="12"/>
  <c r="D87" i="12"/>
  <c r="D86" i="12"/>
  <c r="D84" i="12"/>
  <c r="D80" i="12"/>
  <c r="D79" i="12"/>
  <c r="D18" i="12"/>
  <c r="D19" i="12"/>
  <c r="D20" i="12"/>
  <c r="D22" i="12"/>
  <c r="D23" i="12"/>
  <c r="D25" i="12"/>
  <c r="D26" i="12"/>
  <c r="D27" i="12"/>
  <c r="D30" i="12"/>
  <c r="D36" i="12"/>
  <c r="D37" i="12"/>
  <c r="D40" i="12"/>
  <c r="D41" i="12"/>
  <c r="D42" i="12"/>
  <c r="D44" i="12"/>
  <c r="D45" i="12"/>
  <c r="D46" i="12"/>
  <c r="D47" i="12"/>
  <c r="D57" i="12"/>
  <c r="D58" i="12"/>
  <c r="D59" i="12"/>
  <c r="D60" i="12"/>
  <c r="D61" i="12"/>
  <c r="D62" i="12"/>
  <c r="B4" i="16" l="1"/>
  <c r="B5" i="16"/>
  <c r="B6" i="16"/>
  <c r="B7" i="16"/>
  <c r="B3" i="16"/>
  <c r="B2" i="16"/>
  <c r="B10" i="14"/>
  <c r="B9" i="14"/>
  <c r="B3" i="14"/>
  <c r="B2" i="14"/>
  <c r="D12" i="8" l="1"/>
  <c r="D11" i="8"/>
  <c r="D10" i="8"/>
  <c r="D9" i="8"/>
  <c r="D8" i="8"/>
  <c r="D11" i="11"/>
  <c r="D9" i="11"/>
  <c r="D7" i="11"/>
  <c r="D6" i="11"/>
  <c r="D25" i="6"/>
  <c r="D24" i="6"/>
  <c r="D16" i="6"/>
  <c r="D15" i="6"/>
  <c r="D7" i="6"/>
  <c r="D12" i="7" l="1"/>
  <c r="C3" i="15" l="1"/>
  <c r="C2" i="15"/>
  <c r="D11" i="7" l="1"/>
  <c r="D5" i="7"/>
  <c r="D18" i="7"/>
  <c r="D16" i="7"/>
  <c r="D9" i="7"/>
  <c r="D8" i="7"/>
  <c r="D7" i="7"/>
  <c r="D4" i="7"/>
  <c r="D13" i="7"/>
  <c r="D171" i="6" l="1"/>
  <c r="D162" i="6"/>
  <c r="I171" i="6"/>
  <c r="D154" i="6"/>
  <c r="I162" i="6"/>
  <c r="D336" i="6"/>
  <c r="D263" i="12"/>
  <c r="I46" i="6"/>
  <c r="I23" i="6"/>
  <c r="D55" i="6"/>
  <c r="I18" i="6"/>
  <c r="D38" i="6"/>
  <c r="I27" i="6"/>
  <c r="I55" i="6"/>
  <c r="D46" i="6"/>
  <c r="I14" i="6"/>
  <c r="D7" i="8"/>
  <c r="D4" i="9"/>
  <c r="D5" i="11"/>
  <c r="D5" i="9"/>
  <c r="D9" i="6"/>
  <c r="D27" i="6"/>
  <c r="D6" i="6"/>
  <c r="D18" i="6"/>
  <c r="D14" i="6"/>
  <c r="D8" i="11" s="1"/>
  <c r="D23"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<sst xmlns="http://schemas.openxmlformats.org/spreadsheetml/2006/main" count="3719" uniqueCount="1845">
  <si>
    <t>Direction</t>
  </si>
  <si>
    <t>Password</t>
  </si>
  <si>
    <t>End Point</t>
  </si>
  <si>
    <t>User ID</t>
  </si>
  <si>
    <t>Base Identity</t>
  </si>
  <si>
    <t>Inbox Or Outbox</t>
  </si>
  <si>
    <t>System</t>
  </si>
  <si>
    <t>System Abbreviation</t>
  </si>
  <si>
    <t>Environments</t>
  </si>
  <si>
    <t>Source- and Destination Formats</t>
  </si>
  <si>
    <t>Abbreviation</t>
  </si>
  <si>
    <t>Receive or Send</t>
  </si>
  <si>
    <t>cus</t>
  </si>
  <si>
    <t>inbox</t>
  </si>
  <si>
    <t>Route Rule</t>
  </si>
  <si>
    <t>fror</t>
  </si>
  <si>
    <t>EE</t>
  </si>
  <si>
    <t>dev</t>
  </si>
  <si>
    <t>EDIFACT</t>
  </si>
  <si>
    <t>E</t>
  </si>
  <si>
    <t>RECEIVE</t>
  </si>
  <si>
    <t>par</t>
  </si>
  <si>
    <t>outbox</t>
  </si>
  <si>
    <t>FTP and SFTP Get Rule</t>
  </si>
  <si>
    <t>fger</t>
  </si>
  <si>
    <t>CargoLink</t>
  </si>
  <si>
    <t>CL</t>
  </si>
  <si>
    <t>test</t>
  </si>
  <si>
    <t>XML</t>
  </si>
  <si>
    <t>SEND</t>
  </si>
  <si>
    <t>dsv</t>
  </si>
  <si>
    <t>Receive Rule</t>
  </si>
  <si>
    <t>frer</t>
  </si>
  <si>
    <t>qa</t>
  </si>
  <si>
    <t>Flatfile Positional</t>
  </si>
  <si>
    <t>P</t>
  </si>
  <si>
    <t>XML Identification Rule</t>
  </si>
  <si>
    <t>fxir</t>
  </si>
  <si>
    <t>prod</t>
  </si>
  <si>
    <t>Flatfile Delimited</t>
  </si>
  <si>
    <t>D</t>
  </si>
  <si>
    <t>Send Rule</t>
  </si>
  <si>
    <t>fser</t>
  </si>
  <si>
    <t>Poland Local WMS from Qguar</t>
  </si>
  <si>
    <t>QWP</t>
  </si>
  <si>
    <t>ANSI ASC X12</t>
  </si>
  <si>
    <t>A</t>
  </si>
  <si>
    <t>Split Rule</t>
  </si>
  <si>
    <t>fsir</t>
  </si>
  <si>
    <t>Poland Local TMS from Qguar</t>
  </si>
  <si>
    <t>QTP</t>
  </si>
  <si>
    <t>ESB DSV Corporate solution</t>
  </si>
  <si>
    <t>ESB</t>
  </si>
  <si>
    <t>Variable Length Delimited</t>
  </si>
  <si>
    <t>C</t>
  </si>
  <si>
    <t>RP</t>
  </si>
  <si>
    <t>Notification Rule</t>
  </si>
  <si>
    <t>fnor</t>
  </si>
  <si>
    <t>User Type</t>
  </si>
  <si>
    <t>Field</t>
  </si>
  <si>
    <t>Value</t>
  </si>
  <si>
    <t>Partner encoding</t>
  </si>
  <si>
    <t>Receive code list name</t>
  </si>
  <si>
    <t>Send code list name</t>
  </si>
  <si>
    <t>Yes or No</t>
  </si>
  <si>
    <t>Yes</t>
  </si>
  <si>
    <t>No</t>
  </si>
  <si>
    <t>Step</t>
  </si>
  <si>
    <t>Settings</t>
  </si>
  <si>
    <t>Name</t>
  </si>
  <si>
    <t>Identifier</t>
  </si>
  <si>
    <t>Address Line 1</t>
  </si>
  <si>
    <t>Address Line 2</t>
  </si>
  <si>
    <t>City</t>
  </si>
  <si>
    <t>State or Province</t>
  </si>
  <si>
    <t>Telephone Number</t>
  </si>
  <si>
    <t>Time Zone</t>
  </si>
  <si>
    <t>&lt;Leave Empty&gt;</t>
  </si>
  <si>
    <t>Child Identity</t>
  </si>
  <si>
    <t>Sender Code</t>
  </si>
  <si>
    <t>Recipient Code</t>
  </si>
  <si>
    <t>Description</t>
  </si>
  <si>
    <t>Unresolved Partner ID</t>
  </si>
  <si>
    <t>Resolved Partner ID</t>
  </si>
  <si>
    <t>User Account</t>
  </si>
  <si>
    <t>Virtual Root</t>
  </si>
  <si>
    <t>Routing Rule</t>
  </si>
  <si>
    <t>IN</t>
  </si>
  <si>
    <t>OUT</t>
  </si>
  <si>
    <t>Authentication type</t>
  </si>
  <si>
    <t>Session Timeout</t>
  </si>
  <si>
    <t>Accessibility</t>
  </si>
  <si>
    <t>Dashboard Theme</t>
  </si>
  <si>
    <t>Groups</t>
  </si>
  <si>
    <t>Select Groups</t>
  </si>
  <si>
    <t>Permissions</t>
  </si>
  <si>
    <t>Select Permissions</t>
  </si>
  <si>
    <t>User Information</t>
  </si>
  <si>
    <t>E-mail</t>
  </si>
  <si>
    <t>Pager</t>
  </si>
  <si>
    <t>Preferred Language</t>
  </si>
  <si>
    <t>Manager ID</t>
  </si>
  <si>
    <t>Identity</t>
  </si>
  <si>
    <t>Authentication host</t>
  </si>
  <si>
    <t>Partner type</t>
  </si>
  <si>
    <t>Mailboxes</t>
  </si>
  <si>
    <t>Virtual Root Mailbox</t>
  </si>
  <si>
    <t>Parent Mailbox</t>
  </si>
  <si>
    <t>Assign Groups</t>
  </si>
  <si>
    <t>Assign Users</t>
  </si>
  <si>
    <t>Users</t>
  </si>
  <si>
    <t>Inbox Mailbox</t>
  </si>
  <si>
    <t>Outbox Mailbox</t>
  </si>
  <si>
    <t>User</t>
  </si>
  <si>
    <t>Mailbox Name</t>
  </si>
  <si>
    <t>Mailbox</t>
  </si>
  <si>
    <t>Rule Application</t>
  </si>
  <si>
    <t>Evaluation Mode</t>
  </si>
  <si>
    <t>Action Type</t>
  </si>
  <si>
    <t>Rule Pattern</t>
  </si>
  <si>
    <t>Mailbox(es)</t>
  </si>
  <si>
    <t>Message Name Pattern</t>
  </si>
  <si>
    <t>Rule Action</t>
  </si>
  <si>
    <t>Run Rule As User</t>
  </si>
  <si>
    <t>Business Process</t>
  </si>
  <si>
    <t>Maps</t>
  </si>
  <si>
    <t>Comments</t>
  </si>
  <si>
    <t>Field is Mandatory</t>
  </si>
  <si>
    <t>This field is mandatory! Go back and enter the data in the Master data worksheet!</t>
  </si>
  <si>
    <t>E2E</t>
  </si>
  <si>
    <t>X2E</t>
  </si>
  <si>
    <t>P2E</t>
  </si>
  <si>
    <t>D2E</t>
  </si>
  <si>
    <t>C2E</t>
  </si>
  <si>
    <t>E2X</t>
  </si>
  <si>
    <t>X2X</t>
  </si>
  <si>
    <t>P2X</t>
  </si>
  <si>
    <t>D2X</t>
  </si>
  <si>
    <t>C2X</t>
  </si>
  <si>
    <t>E2P</t>
  </si>
  <si>
    <t>X2P</t>
  </si>
  <si>
    <t>P2P</t>
  </si>
  <si>
    <t>D2P</t>
  </si>
  <si>
    <t>C2P</t>
  </si>
  <si>
    <t>E2D</t>
  </si>
  <si>
    <t>X2D</t>
  </si>
  <si>
    <t>P2D</t>
  </si>
  <si>
    <t>D2D</t>
  </si>
  <si>
    <t>C2D</t>
  </si>
  <si>
    <t>E2C</t>
  </si>
  <si>
    <t>X2C</t>
  </si>
  <si>
    <t>P2C</t>
  </si>
  <si>
    <t>D2C</t>
  </si>
  <si>
    <t>C2C</t>
  </si>
  <si>
    <t>Combined Source- and Destination Formats</t>
  </si>
  <si>
    <t>DES</t>
  </si>
  <si>
    <t>FNX</t>
  </si>
  <si>
    <t>True or False</t>
  </si>
  <si>
    <t>Setting</t>
  </si>
  <si>
    <t>Code Lists</t>
  </si>
  <si>
    <t>Value to enter</t>
  </si>
  <si>
    <t>Receiver Code</t>
  </si>
  <si>
    <t>DSV</t>
  </si>
  <si>
    <t>Enter Destination ID for this inbound flow</t>
  </si>
  <si>
    <t>Mandatory or Conditional</t>
  </si>
  <si>
    <t>M</t>
  </si>
  <si>
    <r>
      <t xml:space="preserve">Text1 </t>
    </r>
    <r>
      <rPr>
        <i/>
        <sz val="11"/>
        <color theme="1"/>
        <rFont val="Calibri"/>
        <family val="2"/>
        <scheme val="minor"/>
      </rPr>
      <t>(CargoLink PartnerCode)</t>
    </r>
  </si>
  <si>
    <r>
      <t xml:space="preserve">Text2 </t>
    </r>
    <r>
      <rPr>
        <i/>
        <sz val="11"/>
        <color theme="1"/>
        <rFont val="Calibri"/>
        <family val="2"/>
        <scheme val="minor"/>
      </rPr>
      <t>(Default Booking Office, Road)</t>
    </r>
  </si>
  <si>
    <r>
      <t>Text3</t>
    </r>
    <r>
      <rPr>
        <i/>
        <sz val="11"/>
        <color theme="1"/>
        <rFont val="Calibri"/>
        <family val="2"/>
        <scheme val="minor"/>
      </rPr>
      <t xml:space="preserve"> (Default Booking Country)</t>
    </r>
  </si>
  <si>
    <r>
      <t xml:space="preserve">Text4 </t>
    </r>
    <r>
      <rPr>
        <i/>
        <sz val="11"/>
        <color theme="1"/>
        <rFont val="Calibri"/>
        <family val="2"/>
        <scheme val="minor"/>
      </rPr>
      <t>(CargoLink Traffic From)</t>
    </r>
  </si>
  <si>
    <r>
      <t xml:space="preserve">Text5 </t>
    </r>
    <r>
      <rPr>
        <i/>
        <sz val="11"/>
        <color theme="1"/>
        <rFont val="Calibri"/>
        <family val="2"/>
        <scheme val="minor"/>
      </rPr>
      <t>(Default Hub, Air&amp;Sea)</t>
    </r>
  </si>
  <si>
    <r>
      <t xml:space="preserve">Text6 </t>
    </r>
    <r>
      <rPr>
        <i/>
        <sz val="11"/>
        <color theme="1"/>
        <rFont val="Calibri"/>
        <family val="2"/>
        <scheme val="minor"/>
      </rPr>
      <t>(Not Used)</t>
    </r>
  </si>
  <si>
    <r>
      <t xml:space="preserve">Text7 </t>
    </r>
    <r>
      <rPr>
        <i/>
        <sz val="11"/>
        <color theme="1"/>
        <rFont val="Calibri"/>
        <family val="2"/>
        <scheme val="minor"/>
      </rPr>
      <t>(Not Used)</t>
    </r>
  </si>
  <si>
    <r>
      <t xml:space="preserve">Text8 </t>
    </r>
    <r>
      <rPr>
        <i/>
        <sz val="11"/>
        <color theme="1"/>
        <rFont val="Calibri"/>
        <family val="2"/>
        <scheme val="minor"/>
      </rPr>
      <t>(Not Used)</t>
    </r>
  </si>
  <si>
    <r>
      <t xml:space="preserve">Text9 </t>
    </r>
    <r>
      <rPr>
        <i/>
        <sz val="11"/>
        <color theme="1"/>
        <rFont val="Calibri"/>
        <family val="2"/>
        <scheme val="minor"/>
      </rPr>
      <t>(Default Division, No Longer Used)</t>
    </r>
  </si>
  <si>
    <t>Control Number Name</t>
  </si>
  <si>
    <t>Get Authorized User Key</t>
  </si>
  <si>
    <t>Key Name</t>
  </si>
  <si>
    <t>n/a</t>
  </si>
  <si>
    <t>Key ID</t>
  </si>
  <si>
    <t>Key Type</t>
  </si>
  <si>
    <t>Key Length</t>
  </si>
  <si>
    <t>Key Finger Print</t>
  </si>
  <si>
    <t>Key String</t>
  </si>
  <si>
    <t>SSH Authorized User Key</t>
  </si>
  <si>
    <t>SI acts as the server</t>
  </si>
  <si>
    <t>URI</t>
  </si>
  <si>
    <t>Launch BP or WAR</t>
  </si>
  <si>
    <t>Send Raw Messages</t>
  </si>
  <si>
    <t>Run BP in sync mode</t>
  </si>
  <si>
    <t>Configure for</t>
  </si>
  <si>
    <t>Use SSL? (TRUE/FALSE)</t>
  </si>
  <si>
    <t>Service Adapter Configuration - HTTP/S Server</t>
  </si>
  <si>
    <t>Node1</t>
  </si>
  <si>
    <t>Node2</t>
  </si>
  <si>
    <t>Type</t>
  </si>
  <si>
    <t>AS2 Configuration Type</t>
  </si>
  <si>
    <t>Partner</t>
  </si>
  <si>
    <t>New or Existing</t>
  </si>
  <si>
    <t>Identification</t>
  </si>
  <si>
    <t>AS2 Identifier</t>
  </si>
  <si>
    <t>&lt;Identifier specified by partner&gt;</t>
  </si>
  <si>
    <t>HTTP Communication</t>
  </si>
  <si>
    <t>Profile Name</t>
  </si>
  <si>
    <t>HTTP Client Adapter</t>
  </si>
  <si>
    <t>&lt;URL specified by partner&gt;</t>
  </si>
  <si>
    <t>&lt;Specified by partner, only in case user authentication is needed&gt;</t>
  </si>
  <si>
    <t>Response Timeout (sec)</t>
  </si>
  <si>
    <t>Firewall Proxy</t>
  </si>
  <si>
    <t>Firewall Connect Count</t>
  </si>
  <si>
    <t>Socket Timeout (sec)</t>
  </si>
  <si>
    <t>SSL</t>
  </si>
  <si>
    <t>&lt;Not part of the DSV Standard Developing, contact technical team if https is needed for the AS2 communication&gt;</t>
  </si>
  <si>
    <t>Key Certificate Passphrase</t>
  </si>
  <si>
    <t>Cipher Strength</t>
  </si>
  <si>
    <t>Key Certificate (System Store)</t>
  </si>
  <si>
    <t>CA Certificates</t>
  </si>
  <si>
    <t>Messages</t>
  </si>
  <si>
    <t>Payload Type</t>
  </si>
  <si>
    <t>MIME Type</t>
  </si>
  <si>
    <t>MIME Sub Type</t>
  </si>
  <si>
    <t>Plain</t>
  </si>
  <si>
    <t>Compress Data</t>
  </si>
  <si>
    <t>Exchange Certificate</t>
  </si>
  <si>
    <t>Signing Certificate</t>
  </si>
  <si>
    <t>Encryption Algorithm</t>
  </si>
  <si>
    <t>Signing Algorithm</t>
  </si>
  <si>
    <t>MDN Receipt</t>
  </si>
  <si>
    <t>Receipt</t>
  </si>
  <si>
    <t>Receipt Signature Type</t>
  </si>
  <si>
    <t>Receipt Timeout</t>
  </si>
  <si>
    <t>Delivery Mode</t>
  </si>
  <si>
    <t>Receipt To Address</t>
  </si>
  <si>
    <t>Setup Additional Server Communication</t>
  </si>
  <si>
    <t>Value (TRUE/FALSE)</t>
  </si>
  <si>
    <t>Encoding for direction Outbound Required?</t>
  </si>
  <si>
    <t>Configure Mailboxes?</t>
  </si>
  <si>
    <t>Configure Routing Rule?</t>
  </si>
  <si>
    <t>Configure SSH Keys?</t>
  </si>
  <si>
    <t>Configure Certificates?</t>
  </si>
  <si>
    <t>Configure HTTP URI Adapter Settings?</t>
  </si>
  <si>
    <t>Configure Mail Client Adapter Settings?</t>
  </si>
  <si>
    <t>Configure Control Numbers?</t>
  </si>
  <si>
    <t>&lt;Click the button to the left to generate a password&gt;</t>
  </si>
  <si>
    <t>Configure AS2?</t>
  </si>
  <si>
    <t>AS2</t>
  </si>
  <si>
    <t>Idenitity Name</t>
  </si>
  <si>
    <t>AS2 MIME Sub Types</t>
  </si>
  <si>
    <t>Certificates</t>
  </si>
  <si>
    <t>Trusted Digital Certificate</t>
  </si>
  <si>
    <t>AS2 Releationship</t>
  </si>
  <si>
    <t>Organization</t>
  </si>
  <si>
    <t>Notification and Retries</t>
  </si>
  <si>
    <t>Retry Interval (sec)</t>
  </si>
  <si>
    <t>Max retries</t>
  </si>
  <si>
    <t>Notify on intermediate failures</t>
  </si>
  <si>
    <t>Notify on final failures</t>
  </si>
  <si>
    <t>Wait For Synchronous MDN Process To Complete Before Extracting Data</t>
  </si>
  <si>
    <t>AS2 message storage</t>
  </si>
  <si>
    <t>Mail Client Adapter Settings</t>
  </si>
  <si>
    <t>Select Service Type</t>
  </si>
  <si>
    <t>Service Type</t>
  </si>
  <si>
    <t>Group</t>
  </si>
  <si>
    <t>Check Mailbox</t>
  </si>
  <si>
    <t>Default Message Access Protocol</t>
  </si>
  <si>
    <t>Default Mail Server</t>
  </si>
  <si>
    <t>Default Mail Server Port</t>
  </si>
  <si>
    <t>User Name</t>
  </si>
  <si>
    <t>Connection Retries</t>
  </si>
  <si>
    <t>Retry Interval (Sec)</t>
  </si>
  <si>
    <t>Max Messages per Session</t>
  </si>
  <si>
    <t>Remove inbox mail messages</t>
  </si>
  <si>
    <t>Specify the path where you want any corrupted mails(s) to be dumped</t>
  </si>
  <si>
    <t>&lt;All&gt;</t>
  </si>
  <si>
    <t>Contract</t>
  </si>
  <si>
    <t>Insert into Process Data</t>
  </si>
  <si>
    <t>Run As User</t>
  </si>
  <si>
    <t>Use 24 Hour Clock Display</t>
  </si>
  <si>
    <t>Schedule</t>
  </si>
  <si>
    <t>Hour</t>
  </si>
  <si>
    <t>Minute</t>
  </si>
  <si>
    <t>At startup</t>
  </si>
  <si>
    <t>Ignore Errors During Processing Mails</t>
  </si>
  <si>
    <t>Security</t>
  </si>
  <si>
    <t>URIs: Specification</t>
  </si>
  <si>
    <t>Mail Header</t>
  </si>
  <si>
    <t>Schedule Type</t>
  </si>
  <si>
    <t>Schedule Settings</t>
  </si>
  <si>
    <t>Schedule Exclusions</t>
  </si>
  <si>
    <t>Date Exlusions</t>
  </si>
  <si>
    <t>SMIME Encryption User Certificate</t>
  </si>
  <si>
    <t>SMIME Decryption User Certificate (System Store)</t>
  </si>
  <si>
    <t>CA Certificate (Certificate Groups)</t>
  </si>
  <si>
    <r>
      <t xml:space="preserve">5-character abbreviation from e-mail user account
</t>
    </r>
    <r>
      <rPr>
        <i/>
        <sz val="11"/>
        <color theme="1"/>
        <rFont val="Calibri"/>
        <family val="2"/>
        <scheme val="minor"/>
      </rPr>
      <t>(example: diese)</t>
    </r>
  </si>
  <si>
    <r>
      <t xml:space="preserve">E-mail user
</t>
    </r>
    <r>
      <rPr>
        <i/>
        <sz val="11"/>
        <color theme="1"/>
        <rFont val="Calibri"/>
        <family val="2"/>
        <scheme val="minor"/>
      </rPr>
      <t>(example: diesel)</t>
    </r>
  </si>
  <si>
    <t>Values for DEVELOPMENT</t>
  </si>
  <si>
    <t>Values for TEST</t>
  </si>
  <si>
    <t>Values for QA</t>
  </si>
  <si>
    <t>Values for PRODUCTION</t>
  </si>
  <si>
    <t>Values specific to TEST environment - if required</t>
  </si>
  <si>
    <t>Notes</t>
  </si>
  <si>
    <t>Certificates specific to TEST environment - if required</t>
  </si>
  <si>
    <t>Message Type (Optional)</t>
  </si>
  <si>
    <t>Encoding for direction Inbound Required?</t>
  </si>
  <si>
    <t>Key Information
(Entered after Key Check in)</t>
  </si>
  <si>
    <t>Message type if multiple AS2 identifiers for the same customer/partner</t>
  </si>
  <si>
    <t>Total number of AS2 profiles and relationships in this worksheet</t>
  </si>
  <si>
    <t>AS2 Profile 1</t>
  </si>
  <si>
    <t>AS2 Relationship 1</t>
  </si>
  <si>
    <t>AS2 Profile 2</t>
  </si>
  <si>
    <t>AS2 Relationship 2</t>
  </si>
  <si>
    <t>AS2 Profile 3</t>
  </si>
  <si>
    <t>AS2 Relationship 3</t>
  </si>
  <si>
    <t>AS2 Profile 4</t>
  </si>
  <si>
    <t>AS2 Relationship 4</t>
  </si>
  <si>
    <t>Partner Name</t>
  </si>
  <si>
    <t>Partner Code</t>
  </si>
  <si>
    <t>Resource Tag export file</t>
  </si>
  <si>
    <t>Inbox History Mailbox</t>
  </si>
  <si>
    <t>Outbox History Mailbox</t>
  </si>
  <si>
    <t>DELAY Mailboxes</t>
  </si>
  <si>
    <t>DELAY Root Mailbox</t>
  </si>
  <si>
    <t>Message type 1</t>
  </si>
  <si>
    <t>Message type 2</t>
  </si>
  <si>
    <t>Message type 3</t>
  </si>
  <si>
    <t>Message type 4</t>
  </si>
  <si>
    <t>Given Name</t>
  </si>
  <si>
    <t>Surname</t>
  </si>
  <si>
    <t>EDI-X12</t>
  </si>
  <si>
    <t>Set this value to trigger the filling in of values for User Account, Mailboxes, Virtual Root and Routing Rule.</t>
  </si>
  <si>
    <t>Used in encoding code list naming.</t>
  </si>
  <si>
    <t>Mandatory.</t>
  </si>
  <si>
    <t>Used for Receive Encoding codelist and child identity.</t>
  </si>
  <si>
    <t>Used for Send Encoding codelist and base and child identities.</t>
  </si>
  <si>
    <t>Resource or document</t>
  </si>
  <si>
    <t>Function in free case</t>
  </si>
  <si>
    <t>Business process name</t>
  </si>
  <si>
    <t>BP Plugin</t>
  </si>
  <si>
    <t>Functionality in CamelCase</t>
  </si>
  <si>
    <t>Plugin name</t>
  </si>
  <si>
    <t>Trading partner code</t>
  </si>
  <si>
    <t>Resource or File Name</t>
  </si>
  <si>
    <t>Resource or File</t>
  </si>
  <si>
    <t>Date</t>
  </si>
  <si>
    <t>Version</t>
  </si>
  <si>
    <t>Comment</t>
  </si>
  <si>
    <t>Change made</t>
  </si>
  <si>
    <t>Jens Loldrup Larsen</t>
  </si>
  <si>
    <t>Worksheet</t>
  </si>
  <si>
    <t>General Information</t>
  </si>
  <si>
    <t>Orange</t>
  </si>
  <si>
    <t>Green</t>
  </si>
  <si>
    <t>Selection</t>
  </si>
  <si>
    <t>Master Data</t>
  </si>
  <si>
    <t>This is where you will enter most of the necessary data which will be used in other worksheets.</t>
  </si>
  <si>
    <t>Trading Partner Codes and Envelopes</t>
  </si>
  <si>
    <t>Message type</t>
  </si>
  <si>
    <t>System (optional)</t>
  </si>
  <si>
    <t>UNH Evelope</t>
  </si>
  <si>
    <t>UNB Envelope</t>
  </si>
  <si>
    <t>Encoding</t>
  </si>
  <si>
    <t>Set to FALSE to prevent the inbound encoding table from being populated with data.</t>
  </si>
  <si>
    <t>Set to FALSE to prevent the outbound encoding table from being populated with data.</t>
  </si>
  <si>
    <t>Affected Worksheets</t>
  </si>
  <si>
    <t>This document is an aid for producing correct configuration and valid resource and document names as per the Standard Developing Guide and the Naming Convention.
There is a single worksheet called "DSV FW" for configuring some names that are DSV FW-specific.</t>
  </si>
  <si>
    <t>Only enter information in fields that are either green or orange, like you see to the right. The rest of the information for the tables in SI will then be automatically filled out.
Whereever possible, drop down menus have been created so only valid values will be selectable.</t>
  </si>
  <si>
    <t>Per default, as many of the tables as possible will be filled out. If you want a cleaner document, you can use the Selection worksheet to prevent some worksheets from being unnecessarily populated with data. Setting a value to FALSE in the Selection worksheet will prevent the relevant table from being filled out with data.</t>
  </si>
  <si>
    <t>Framework</t>
  </si>
  <si>
    <t>Used for determining certain framework-dependant business processes.</t>
  </si>
  <si>
    <t>SI HTTP URI Adapter Settings</t>
  </si>
  <si>
    <t>Mailboxes, Virtual Root, Routing Rule</t>
  </si>
  <si>
    <t>SSH  Keys</t>
  </si>
  <si>
    <t>SI HTTP URI Settings</t>
  </si>
  <si>
    <t>Mail Client Adapter settings</t>
  </si>
  <si>
    <t>Control Number</t>
  </si>
  <si>
    <t>Set to FALSE to prevent the Mailboxes, Virtual Root and Routing Rule worksheets from being populated with data.</t>
  </si>
  <si>
    <t>Set to FALSE to prevent the Routing Rule worksheet from being populated with data.</t>
  </si>
  <si>
    <t>Set to FALSE to prevent the SSH Keys worksheet from being populated with data.</t>
  </si>
  <si>
    <t>Set to FALSE to prevent the AS2 worksheet from being populated with data.</t>
  </si>
  <si>
    <t>Set to FALSE to prevent the Certificates worksheet from being populated with data.</t>
  </si>
  <si>
    <t>Set to FALSE to prevent the SI HTTP URI Settings worksheet from being populated with data.</t>
  </si>
  <si>
    <t>Set to FALSE to prevent the Mail Client Adapter Settings worksheet from being populated with data.</t>
  </si>
  <si>
    <t>Set to FALSE to prevent the Control Number worksheet from being populated with data.</t>
  </si>
  <si>
    <t>Source ID lookup</t>
  </si>
  <si>
    <t>Profile</t>
  </si>
  <si>
    <t>Create Trading Partner</t>
  </si>
  <si>
    <t>Select Type of Exchange</t>
  </si>
  <si>
    <t>Zip or Postal Code</t>
  </si>
  <si>
    <t>Email Address</t>
  </si>
  <si>
    <t>Country/Region</t>
  </si>
  <si>
    <t>Message Type (if more than one Profile is needed)</t>
  </si>
  <si>
    <t>Protocol</t>
  </si>
  <si>
    <t>End Point IP</t>
  </si>
  <si>
    <t>End Point Port</t>
  </si>
  <si>
    <t>Directory</t>
  </si>
  <si>
    <t>Protocol Mode</t>
  </si>
  <si>
    <t>Communications</t>
  </si>
  <si>
    <t>New Business Process</t>
  </si>
  <si>
    <t>Process Name</t>
  </si>
  <si>
    <t>Select an input mode for defining the new process</t>
  </si>
  <si>
    <t>BPML Specification</t>
  </si>
  <si>
    <t>Process Levels</t>
  </si>
  <si>
    <t>&lt;All Remaining Fields&gt;</t>
  </si>
  <si>
    <t>Matching Criteria</t>
  </si>
  <si>
    <t>BP Name</t>
  </si>
  <si>
    <t>Rule Detail</t>
  </si>
  <si>
    <t>Base Directory</t>
  </si>
  <si>
    <t>Directory List</t>
  </si>
  <si>
    <t>File List</t>
  </si>
  <si>
    <t>Delete Flag</t>
  </si>
  <si>
    <t>Archive Directory</t>
  </si>
  <si>
    <t>Transfer Type</t>
  </si>
  <si>
    <t>Client Adapter</t>
  </si>
  <si>
    <t>New Schedule for Profile 1</t>
  </si>
  <si>
    <t>Date Exclusions</t>
  </si>
  <si>
    <t>Select BP and optional name/value pair</t>
  </si>
  <si>
    <t>Name/value pairs</t>
  </si>
  <si>
    <t>BP version number (default 1; increase if needed)</t>
  </si>
  <si>
    <t>SSH Remote Profile</t>
  </si>
  <si>
    <t>Remote Host</t>
  </si>
  <si>
    <t>Remote Port</t>
  </si>
  <si>
    <t>Known Host Key</t>
  </si>
  <si>
    <t>Remote User</t>
  </si>
  <si>
    <t>Preferred Authentication Type</t>
  </si>
  <si>
    <t>SSH Password</t>
  </si>
  <si>
    <t>User Identity Key</t>
  </si>
  <si>
    <t>Compression</t>
  </si>
  <si>
    <t>Connection Retry Count</t>
  </si>
  <si>
    <t>Retry Delay (secs)</t>
  </si>
  <si>
    <t>Reponse Timeout (secs)</t>
  </si>
  <si>
    <t>Preferred Cipher</t>
  </si>
  <si>
    <t>Preferred MAC (Message Authentification Code)</t>
  </si>
  <si>
    <t>Local Port Range</t>
  </si>
  <si>
    <t>FTP Profile 1
(Trading Partner/Setup/Basic)</t>
  </si>
  <si>
    <t>Rename FTP profile
(Trading Partner/Setup/Advanced/Profiles)</t>
  </si>
  <si>
    <t>Values for Test Environment</t>
  </si>
  <si>
    <t>Values for Production Environment</t>
  </si>
  <si>
    <t>Values for the Test Environment</t>
  </si>
  <si>
    <t>Values for the Production Environment</t>
  </si>
  <si>
    <t>Value for the Production Environment</t>
  </si>
  <si>
    <t>Value for the Test Environment</t>
  </si>
  <si>
    <t>FTP Profile 2
(Trading Partner/Setup/Basic)</t>
  </si>
  <si>
    <t>New Schedule for Profile 2</t>
  </si>
  <si>
    <t>Sql Script</t>
  </si>
  <si>
    <t>Sql Rollback Script</t>
  </si>
  <si>
    <t>Sql log</t>
  </si>
  <si>
    <t>Sql Rollback log</t>
  </si>
  <si>
    <t>TEST</t>
  </si>
  <si>
    <t>PRODUCTION</t>
  </si>
  <si>
    <t>FTP Client setup settings</t>
  </si>
  <si>
    <t>First FTP Client setup</t>
  </si>
  <si>
    <t>Second FTP Client setup</t>
  </si>
  <si>
    <t>SFTP Client setup settings</t>
  </si>
  <si>
    <t>First SFTP Client setup</t>
  </si>
  <si>
    <t>FTP login name</t>
  </si>
  <si>
    <t>FTP Server DNS or IP address</t>
  </si>
  <si>
    <t>FTP port</t>
  </si>
  <si>
    <t>FTP password</t>
  </si>
  <si>
    <t>New FTP Get Rule for Profile 1</t>
  </si>
  <si>
    <t>New FTP Get Rule for Profile 2</t>
  </si>
  <si>
    <t>SFTP login name</t>
  </si>
  <si>
    <t>SFTP Server DNS or IP address</t>
  </si>
  <si>
    <t>SFTP port</t>
  </si>
  <si>
    <t>New SFTP Get Rule for Profile 1</t>
  </si>
  <si>
    <t>Second SFTP Client setup</t>
  </si>
  <si>
    <t>Envelope Environment (optional)</t>
  </si>
  <si>
    <t>ASCII</t>
  </si>
  <si>
    <t>Big5</t>
  </si>
  <si>
    <t>Big5_HKSCS</t>
  </si>
  <si>
    <t>Cp037</t>
  </si>
  <si>
    <t>Cp1006</t>
  </si>
  <si>
    <t>Cp1025</t>
  </si>
  <si>
    <t>Cp1026</t>
  </si>
  <si>
    <t>Cp1097</t>
  </si>
  <si>
    <t>Cp1098</t>
  </si>
  <si>
    <t>Cp1112</t>
  </si>
  <si>
    <t>Cp1122</t>
  </si>
  <si>
    <t>Cp1123</t>
  </si>
  <si>
    <t>Cp1257</t>
  </si>
  <si>
    <t>Cp1258</t>
  </si>
  <si>
    <t>Cp1381</t>
  </si>
  <si>
    <t>Cp1383</t>
  </si>
  <si>
    <t>Cp277</t>
  </si>
  <si>
    <t>Cp280</t>
  </si>
  <si>
    <t>Cp284</t>
  </si>
  <si>
    <t>Cp285</t>
  </si>
  <si>
    <t>Cp297</t>
  </si>
  <si>
    <t>Cp420</t>
  </si>
  <si>
    <t>Cp424</t>
  </si>
  <si>
    <t>Cp500</t>
  </si>
  <si>
    <t>Cp737</t>
  </si>
  <si>
    <t>Cp775</t>
  </si>
  <si>
    <t>Cp838</t>
  </si>
  <si>
    <t>Cp852</t>
  </si>
  <si>
    <t>Cp855</t>
  </si>
  <si>
    <t>Cp857</t>
  </si>
  <si>
    <t>Cp860</t>
  </si>
  <si>
    <t>Cp861</t>
  </si>
  <si>
    <t>Cp862</t>
  </si>
  <si>
    <t>Cp864</t>
  </si>
  <si>
    <t>Cp918</t>
  </si>
  <si>
    <t>Cp921</t>
  </si>
  <si>
    <t>Cp922</t>
  </si>
  <si>
    <t>Cp930</t>
  </si>
  <si>
    <t>Cp935</t>
  </si>
  <si>
    <t>Cp937</t>
  </si>
  <si>
    <t>Cp939</t>
  </si>
  <si>
    <t>Cp942</t>
  </si>
  <si>
    <t>Cp942C</t>
  </si>
  <si>
    <t>Cp943</t>
  </si>
  <si>
    <t>Cp943C</t>
  </si>
  <si>
    <t>Cp948</t>
  </si>
  <si>
    <t>Cp949</t>
  </si>
  <si>
    <t>Cp949C</t>
  </si>
  <si>
    <t>Cp950</t>
  </si>
  <si>
    <t>Cp964</t>
  </si>
  <si>
    <t>Cp970</t>
  </si>
  <si>
    <t>EUC_CN</t>
  </si>
  <si>
    <t>EUC_JP</t>
  </si>
  <si>
    <t>EUC_JP_LINUX</t>
  </si>
  <si>
    <t>EUC_KR</t>
  </si>
  <si>
    <t>EUC_TW</t>
  </si>
  <si>
    <t>ISO2022JP</t>
  </si>
  <si>
    <t>ISO8859_1</t>
  </si>
  <si>
    <t>ISO8859_13</t>
  </si>
  <si>
    <t>ISO8859_15_FDIS</t>
  </si>
  <si>
    <t>ISO8859_2</t>
  </si>
  <si>
    <t>ISO8859_3</t>
  </si>
  <si>
    <t>ISO8859_4</t>
  </si>
  <si>
    <t>ISO8859_5</t>
  </si>
  <si>
    <t>ISO8859_6</t>
  </si>
  <si>
    <t>ISO8859_7</t>
  </si>
  <si>
    <t>ISO8859_8</t>
  </si>
  <si>
    <t>ISO8859_9</t>
  </si>
  <si>
    <t>Johab</t>
  </si>
  <si>
    <t>KOI8_R</t>
  </si>
  <si>
    <t>MS874</t>
  </si>
  <si>
    <t>MS932</t>
  </si>
  <si>
    <t>MS949</t>
  </si>
  <si>
    <t>SJIS</t>
  </si>
  <si>
    <t>TIS620</t>
  </si>
  <si>
    <t>Unicode</t>
  </si>
  <si>
    <t>UnicodeBigUnmarked</t>
  </si>
  <si>
    <t>UnicodeLittleUnmarked</t>
  </si>
  <si>
    <t>UTF16</t>
  </si>
  <si>
    <t>UTF8</t>
  </si>
  <si>
    <t>Variable Length Delimited to Variable Length Delimited</t>
  </si>
  <si>
    <t>Variable Length Delimited to Flatfile Delimited</t>
  </si>
  <si>
    <t>Variable Length Delimited to Flatfile Positional</t>
  </si>
  <si>
    <t>Variable Length Delimited to XML</t>
  </si>
  <si>
    <t>Flatfile Delimited to Variable Length Delimited</t>
  </si>
  <si>
    <t>Flatfile Delimited to Flatfile Delimited</t>
  </si>
  <si>
    <t>Flatfile Delimited to Flatfile Positional</t>
  </si>
  <si>
    <t>Flatfile Delimited to XML</t>
  </si>
  <si>
    <t>Document Extraction Map</t>
  </si>
  <si>
    <t>Filename Extraction Map</t>
  </si>
  <si>
    <t>Flatfile Positional to Variable Length Delimited</t>
  </si>
  <si>
    <t>Flatfile Positional to Flatfile Delimited</t>
  </si>
  <si>
    <t>Flatfile Positional to Flatfile Positional</t>
  </si>
  <si>
    <t>Flatfile Positional to XML</t>
  </si>
  <si>
    <t>XML to Variable Length Delimited</t>
  </si>
  <si>
    <t>XML to Flatfile Delimited</t>
  </si>
  <si>
    <t>XML to Flatfile Positional</t>
  </si>
  <si>
    <t>XML to XML</t>
  </si>
  <si>
    <t>This table is used in a VLOOKUP for map names in the Master Data worksheet!</t>
  </si>
  <si>
    <t>Partner, if customer's files are transferred via a VANS
(Example: TRUECOMMERCE)</t>
  </si>
  <si>
    <t>&lt;Preferred value. Can be different if required by partner.&gt;</t>
  </si>
  <si>
    <t>CargoWrite (RedPrairie Solutions WMS)</t>
  </si>
  <si>
    <t>CargoWise 1 (ediEnterprise)</t>
  </si>
  <si>
    <t>Initial Go-Live version</t>
  </si>
  <si>
    <t>CA Digital Certificates</t>
  </si>
  <si>
    <t>Public</t>
  </si>
  <si>
    <t>Intermediate</t>
  </si>
  <si>
    <t>Root</t>
  </si>
  <si>
    <t>DSV_Intermediate_&lt;Certificate Subject Common Name&gt;_&lt;Date of expiry yyyy.mm.dd&gt;_cdc</t>
  </si>
  <si>
    <r>
      <t>SSL_</t>
    </r>
    <r>
      <rPr>
        <i/>
        <sz val="11"/>
        <color theme="1"/>
        <rFont val="Arial"/>
        <family val="2"/>
      </rPr>
      <t>&lt;NameOfRemoteHost&gt;_[&lt;Description&gt;_]&lt;DateOfExpiry yyyy.mm.dd&gt;_</t>
    </r>
    <r>
      <rPr>
        <sz val="11"/>
        <color theme="1"/>
        <rFont val="Arial"/>
        <family val="2"/>
      </rPr>
      <t>cdc</t>
    </r>
  </si>
  <si>
    <t>DSV_Root_&lt;Certificate Subject Common Name&gt;_&lt;Date of expiry yyyy.mm.dd&gt;_cdc</t>
  </si>
  <si>
    <t>Configure for (SI-TC only,  non-SSL only)</t>
  </si>
  <si>
    <t>DropDown - DO NOT EDIT</t>
  </si>
  <si>
    <t>Contains various tables used in validation of entered values across the document. Is Locked.</t>
  </si>
  <si>
    <t>Corrected colon to underscore in profile name in FTP Client and SFTP Client worksheets.</t>
  </si>
  <si>
    <t>New SFTP Get Rule for Profile 2</t>
  </si>
  <si>
    <t>The framework selector (ITAC/DSV) in Master Data now also affects the AS2 worksheet.</t>
  </si>
  <si>
    <t>AS2 Parent Mailbox
(DSV FW only)</t>
  </si>
  <si>
    <t>Change data type of column B in the Master data sheet to "Text" so numerical values with leading zeroes will keep the leading zeroes.</t>
  </si>
  <si>
    <t>Premkumar Madheswaran</t>
  </si>
  <si>
    <t>Updated for Lightwell B2B Framework</t>
  </si>
  <si>
    <t>This is only used for inbound flows on the LW FW. Can be ignored for other flows.</t>
  </si>
  <si>
    <t>LW FW Rules</t>
  </si>
  <si>
    <t>LW FW Rule Abbreviations</t>
  </si>
  <si>
    <t>BP Parameters</t>
  </si>
  <si>
    <t>Framework Identities</t>
  </si>
  <si>
    <t>LW</t>
  </si>
  <si>
    <t>LW FW receive rule export file</t>
  </si>
  <si>
    <t>LW FW split rule export file</t>
  </si>
  <si>
    <t>LW FW XML identification rule export file</t>
  </si>
  <si>
    <t>LW FW route rule export file</t>
  </si>
  <si>
    <t>LW FW send rule export file</t>
  </si>
  <si>
    <t>LW FW FTP/SFTP get rule export file</t>
  </si>
  <si>
    <t>LW FW notification rule export file</t>
  </si>
  <si>
    <t>LW FW Framework Identities export file</t>
  </si>
  <si>
    <t>Organization Name</t>
  </si>
  <si>
    <t>B2B Identifier</t>
  </si>
  <si>
    <t>Parent Identifier</t>
  </si>
  <si>
    <t>Active</t>
  </si>
  <si>
    <t>LW FW BP Parameter export file</t>
  </si>
  <si>
    <t>Corrected groups to configure for DSV FW AS2 mailbox to only be Mailbox Administrators.</t>
  </si>
  <si>
    <t>Corrected the sourceidlookup formula in the Ressource and file naming sheet.</t>
  </si>
  <si>
    <t>Corrected groups to configure for DSV FW AS2 mailbox to only be Mailbox Administrators. And THIS time it stuck.
Added GICS as a selectable system.
Changed colons to underscores in all ressource names and description fields where it was used as a delimeter between a host/server and port number. Primarily for SSH keys and the trusted digital certificate name.</t>
  </si>
  <si>
    <t>Corrected LW FW Framework Identities export file and LW FW BP Parameter export file in the Ressource and file naming worksheet. 
Now they match with DSV BS EDI Guideline for naming conventions v 5.0.</t>
  </si>
  <si>
    <t>ffid</t>
  </si>
  <si>
    <t>fbpp</t>
  </si>
  <si>
    <t>Delta WMS</t>
  </si>
  <si>
    <t>DLT</t>
  </si>
  <si>
    <t>Corrected LW FW Framework Identities export file suffix (from fidx to ffid) and LW FW BP Parameter export file suffix (from fbpx to fbpp) in the Ressource and file naming worksheet. Now they match with DSV BS EDI Guideline for naming conventions v 6.0.
Added Delta WMS to the DSVSystems name range, also per DSV BS EDI Guideline for naming conventions v 6.0.</t>
  </si>
  <si>
    <t>Partner-specific business process</t>
  </si>
  <si>
    <t>Partner-specific plugin</t>
  </si>
  <si>
    <t>Web Service Rule</t>
  </si>
  <si>
    <t>fwsr</t>
  </si>
  <si>
    <t>LW FW BP web service rule export file</t>
  </si>
  <si>
    <t>Added column in the "Resource and file naming" worksheet for including PartnerCode in bp and plugin names. Defaults to FALSE.
Added row for LW FW Web Service rule export files in the "Ressource and file naming" worksheet.</t>
  </si>
  <si>
    <t>eDC</t>
  </si>
  <si>
    <t>EDC</t>
  </si>
  <si>
    <t>Added eDC to system names.</t>
  </si>
  <si>
    <t>HTTP Login Name</t>
  </si>
  <si>
    <t>HTTP Port Number</t>
  </si>
  <si>
    <t>HTTP Server DNS or IP Address</t>
  </si>
  <si>
    <t>Rename Profile Name
Trading Partner/Setup/Advanced/Profiles</t>
  </si>
  <si>
    <t>Add SSL to transport
Trading Partner/Setup/Advanced/Transports</t>
  </si>
  <si>
    <t>Communications: Security</t>
  </si>
  <si>
    <t>Client Certificate Authentication used? (TRUE/FALSE)</t>
  </si>
  <si>
    <t>CA Certificate Description (optional)</t>
  </si>
  <si>
    <t>Transport Account</t>
  </si>
  <si>
    <t>Confirm Password</t>
  </si>
  <si>
    <r>
      <t>Add Login to transport</t>
    </r>
    <r>
      <rPr>
        <b/>
        <sz val="11"/>
        <color rgb="FFFF0000"/>
        <rFont val="Calibri"/>
        <family val="2"/>
        <scheme val="minor"/>
      </rPr>
      <t xml:space="preserve">
</t>
    </r>
    <r>
      <rPr>
        <b/>
        <sz val="11"/>
        <color theme="1"/>
        <rFont val="Calibri"/>
        <family val="2"/>
        <scheme val="minor"/>
      </rPr>
      <t>Trading Partner/Setup/Advanced/Transports</t>
    </r>
  </si>
  <si>
    <t>Username Login Required? (TRUE/FALSE)</t>
  </si>
  <si>
    <t>SI HTTP Profiles</t>
  </si>
  <si>
    <t>HTTP Profile
(Trading Partner/Setup/Basic)</t>
  </si>
  <si>
    <t>Only Used For HTTPS</t>
  </si>
  <si>
    <t>Added worksheet for Client HTTP Profiles and Client HTTPS Profiles.</t>
  </si>
  <si>
    <t>ANSI X12/EDIFACT/VDA to Variable Length Delimited</t>
  </si>
  <si>
    <t>ANSI X12/EDIFACT/VDA to Flatfile Delimited</t>
  </si>
  <si>
    <t>ANSI X12/EDIFACT/VDA to ANSI X12/EDIFACT/VDA</t>
  </si>
  <si>
    <t>ANSI X12/EDIFACT/VDA to Flatfile Positional</t>
  </si>
  <si>
    <t>ANSI X12/EDIFACT/VDA to XML</t>
  </si>
  <si>
    <t>Flatfile Positional to ANSI X12/EDIFACT/VDA</t>
  </si>
  <si>
    <t>XML to ANSI X12/EDIFACT/VDA</t>
  </si>
  <si>
    <t>Variable Length Delimited to ANSI X12/EDIFACT/VDA</t>
  </si>
  <si>
    <t>Flatfile Delimited to ANSI X12/EDIFACT/VDA</t>
  </si>
  <si>
    <t>SSH Remote Profile 1 for SFTP (Trading Partner/SSH/Remote Profiles)</t>
  </si>
  <si>
    <t>SSH Remote Profile 2 for SFTP (Trading Partner/SSH/Remote Profiles)</t>
  </si>
  <si>
    <t>ANSI X12/EDIFACT/VDA</t>
  </si>
  <si>
    <t>Updated the document for below changes:
1. SSH Remote Profile path
2. Map name convention "E" as common for ANSI X12/EDIFACT/VDA
3. B2B Mail Client Adapter configuration updated for hostname and certificate
4. SI HTTP URI settings to remove URI creation under perimeter specific server adapter</t>
  </si>
  <si>
    <t>Set all fields in the Selection worksheet to FALSE as default. Fixed bug where login was mandatory for http and https client profiles.</t>
  </si>
  <si>
    <t>The cell below is used in a concatenate function for certificates used in the "Mail client adapter settings" worksheet.</t>
  </si>
  <si>
    <t>DSV_Intermediate_outlook.office365.com_CNNIC_2024.12.18_cdc</t>
  </si>
  <si>
    <t>DSV_Intermediate_outlook.office365.com_DifiCert_2023.08.03_cdc</t>
  </si>
  <si>
    <t>DSV_Intermediate_outlook.office365.com_Digicert_2030.08.04_cdc</t>
  </si>
  <si>
    <t>DSV_Intermediate_outlook.office365.com_DigiCertHA_2028.10.22_cdc</t>
  </si>
  <si>
    <t>DSV_Intermediate_outlook.office365.com_DTrust_2029.11.05_cdc</t>
  </si>
  <si>
    <t>DSV_Intermediate_outlook.office365.com_Entrust_2021.11.12_cdc</t>
  </si>
  <si>
    <t>DSV_Intermediate_outlook.office365.com_Entrust_L1_2030.12.05_cdc</t>
  </si>
  <si>
    <t>DSV_Intermediate_outlook.office365.com_GlobalS2_2026.09.21_cdc</t>
  </si>
  <si>
    <t>DSV_Intermediate_outlook.office365.com_GlobalSign_2022.08.02_cdc</t>
  </si>
  <si>
    <t>DSV_Intermediate_outlook.office365.com_GlobalSign_2024.02.20_cdc</t>
  </si>
  <si>
    <t>DSV_Intermediate_outlook.office365.com_GlobalSign_2025.09.04_cdc</t>
  </si>
  <si>
    <t>DSV_Intermediate_outlook.office365.com_LetEncrypt_2021.03.17_cdc</t>
  </si>
  <si>
    <t>DSV_Intermediate_outlook.office365.com_Microsoft_2024.05.20_cdc</t>
  </si>
  <si>
    <t>DSV_Intermediate_outlook.office365.com_Microsoft2_2024.05.20_cdc</t>
  </si>
  <si>
    <t>DSV_Intermediate_outlook.office365.com_Microsoft4_2024.05.20_cdc</t>
  </si>
  <si>
    <t>DSV_Intermediate_outlook.office365.com_Microsoft5_2024.05.20_cdc</t>
  </si>
  <si>
    <t>DSV_Intermediate_outlook.office365.com_SymantecG3_2023.10.31_cdc</t>
  </si>
  <si>
    <t>DSV_Intermediate_outlook.office365.com_SymantecG4_2023.10.31_cdc</t>
  </si>
  <si>
    <t>DSV_Intermediate_outlook.office365.com_Thwate_2023.05.23_cdc</t>
  </si>
  <si>
    <t>DSV_Intermediate_outlook.office365.com_Verizon_2021.04.02_cdc</t>
  </si>
  <si>
    <t>DSV_Intermediate_outlook.office365.com_WoSign_2024.08.08_cdc</t>
  </si>
  <si>
    <t>DSV_Intermediate_outlook.office365.com_WoSign_2029.11.08_cdc</t>
  </si>
  <si>
    <t>DSV_Intermediate_outlook.office365.com_WoSignCA_2024.08.08_cdc</t>
  </si>
  <si>
    <t>DSV_Intermediate_outlook.office365.com_WoSignG2_2029.11.08_cdc</t>
  </si>
  <si>
    <t>Added full list of CA Certificates to be configured in the "Mail client adapter settings" worksheet.</t>
  </si>
  <si>
    <t>Fixed typo in field for the BP's description for SFTP Client setups in test.</t>
  </si>
  <si>
    <t>GICS (UTi WMS)</t>
  </si>
  <si>
    <t>GICS</t>
  </si>
  <si>
    <t>Łukasz Pękalak</t>
  </si>
  <si>
    <t>Fixed typo in GICS (list of systems)</t>
  </si>
  <si>
    <t>DX</t>
  </si>
  <si>
    <t>CDM-CDE</t>
  </si>
  <si>
    <t>CustomsDeclarationMessage</t>
  </si>
  <si>
    <t>CDM-CIM</t>
  </si>
  <si>
    <t>CommercialInvoiceMessage</t>
  </si>
  <si>
    <t>CDM-CER</t>
  </si>
  <si>
    <t>CurrencyExchRatesMessage</t>
  </si>
  <si>
    <t>CDM-COM</t>
  </si>
  <si>
    <t>ContainerMessage</t>
  </si>
  <si>
    <t>CDM-DAM</t>
  </si>
  <si>
    <t>DespatchAdviceMessage</t>
  </si>
  <si>
    <t>CDM-DEO</t>
  </si>
  <si>
    <t>DespatchOrderMessage</t>
  </si>
  <si>
    <t>CDM-DOM</t>
  </si>
  <si>
    <t>DocumentMessage</t>
  </si>
  <si>
    <t>CDM-FIM</t>
  </si>
  <si>
    <t>FreightInvoiceMessage</t>
  </si>
  <si>
    <t>CDM-IMM</t>
  </si>
  <si>
    <t>InventoryMovementMessage</t>
  </si>
  <si>
    <t>CDM-INM</t>
  </si>
  <si>
    <t>InventoryMessage</t>
  </si>
  <si>
    <t>CDM-PDM</t>
  </si>
  <si>
    <t>ProductDataMessage</t>
  </si>
  <si>
    <t>CDM-RAM</t>
  </si>
  <si>
    <t>ReceiptAdviceMessage</t>
  </si>
  <si>
    <t>CDM-RNM</t>
  </si>
  <si>
    <t>ReceiptNotificationMessage</t>
  </si>
  <si>
    <t>CDM-SCM</t>
  </si>
  <si>
    <t>ShipmentConfirmationMessage</t>
  </si>
  <si>
    <t>CDM-SIM</t>
  </si>
  <si>
    <t>ShipmentInstructionMessage</t>
  </si>
  <si>
    <t>CDM-SOM</t>
  </si>
  <si>
    <t>ShipmentOrderMessage</t>
  </si>
  <si>
    <t>CDM-SSM</t>
  </si>
  <si>
    <t>ShipmentStatusMessage</t>
  </si>
  <si>
    <t>CDM-TMM</t>
  </si>
  <si>
    <t>TransportMasterInstructionMessage</t>
  </si>
  <si>
    <t>CDM-WOC</t>
  </si>
  <si>
    <t>WarehouseOrderConfirmationMessage</t>
  </si>
  <si>
    <t>CDM-WOM</t>
  </si>
  <si>
    <t>WarehouseOrderMessage</t>
  </si>
  <si>
    <t>CDM-AAM</t>
  </si>
  <si>
    <t>ApplicationAcknowledgementMessage</t>
  </si>
  <si>
    <t>WMS-AAM</t>
  </si>
  <si>
    <t>AcknowledgementMessage</t>
  </si>
  <si>
    <t>WMS-DAM</t>
  </si>
  <si>
    <t>WMS-DEO</t>
  </si>
  <si>
    <t>WMS-INM</t>
  </si>
  <si>
    <t>WMS-IMM</t>
  </si>
  <si>
    <t>WMS-PDM</t>
  </si>
  <si>
    <t>WMS-RAM</t>
  </si>
  <si>
    <t>WMS-RNM</t>
  </si>
  <si>
    <t>Message Type Abbreviation</t>
  </si>
  <si>
    <t>DSVXpress</t>
  </si>
  <si>
    <t>Added new system: DX for DSVXpress.
Changed password generator to generate passwords with a length of 16 instead of 8.
Message type abbreviations for CDM and generic WMS message types for map names now add the message type name to the comments when entered.</t>
  </si>
  <si>
    <t>Sheet is protected.</t>
  </si>
  <si>
    <t>User Accounts</t>
  </si>
  <si>
    <t>Sheet is protected. Further configuration while sheet is unlocked:
- Range D4:D14 and Range D16:D18 have been configured as "Allow Edit Ranges" (in the ribbon, next to the protect buttons).
- Cell D15 has been locked: Right-click on cell, select "Format Cells...", select tab "Protection", put a check mark in the "Locked" checkbox.</t>
  </si>
  <si>
    <t>Changed password generator to generate passwords with a length of 24 instead of 16, and to copy the password directly to the clipboard.
Locked Pager field in User Accounts worksheet so it will only be blank or show &lt;Leave Empty&gt;.</t>
  </si>
  <si>
    <t>AS2 Parent Mailbox</t>
  </si>
  <si>
    <t>BATCH Mailboxes</t>
  </si>
  <si>
    <t>BATCH Root Mailbox</t>
  </si>
  <si>
    <t>Added Batch mailboxes to the Mailboxes worksheet.</t>
  </si>
  <si>
    <t>Fixed error where the production server was being listed for HTTP(S) Client profiles' Key Certificate (System Store) on the test environment (Worksheet: HTTP(S) Client profiles</t>
  </si>
  <si>
    <t>Witold Wróbel</t>
  </si>
  <si>
    <t>Group remove for User accounts</t>
  </si>
  <si>
    <t>Division Air&amp;Sea</t>
  </si>
  <si>
    <t>AS</t>
  </si>
  <si>
    <t>Division Road</t>
  </si>
  <si>
    <t>RD</t>
  </si>
  <si>
    <t>Division Solutions</t>
  </si>
  <si>
    <t>SL</t>
  </si>
  <si>
    <t>Added division "system" codes from the map naming convention (v14.0).
When optional system part of map names is included, the system name is written in the comments column in the Master data worksheet.</t>
  </si>
  <si>
    <t>Stylesheets</t>
  </si>
  <si>
    <t>Other information</t>
  </si>
  <si>
    <t>Added section for stylesheets in both the Master data and the Ressource and file naming worksheets.</t>
  </si>
  <si>
    <t>Cp1124</t>
  </si>
  <si>
    <t>Cp1250</t>
  </si>
  <si>
    <t>Cp1251</t>
  </si>
  <si>
    <t>Cp1252</t>
  </si>
  <si>
    <t>Cp1253</t>
  </si>
  <si>
    <t>Cp1254</t>
  </si>
  <si>
    <t>Cp1255</t>
  </si>
  <si>
    <t>Cp1256</t>
  </si>
  <si>
    <t>Cp273</t>
  </si>
  <si>
    <t>Cp278</t>
  </si>
  <si>
    <t>Cp33722</t>
  </si>
  <si>
    <t>Cp437</t>
  </si>
  <si>
    <t>Cp850</t>
  </si>
  <si>
    <t>Cp856</t>
  </si>
  <si>
    <t>Cp863</t>
  </si>
  <si>
    <t>Cp865</t>
  </si>
  <si>
    <t>Cp866</t>
  </si>
  <si>
    <t>Cp868</t>
  </si>
  <si>
    <t>Cp869</t>
  </si>
  <si>
    <t>Cp870</t>
  </si>
  <si>
    <t>Cp871</t>
  </si>
  <si>
    <t>Cp874</t>
  </si>
  <si>
    <t>Cp875</t>
  </si>
  <si>
    <t>Cp933</t>
  </si>
  <si>
    <t>Some encodings had vanished from the values used in the Encoding drop-down list in the Master Data worksheet. These have now been added back in.</t>
  </si>
  <si>
    <t>JDA</t>
  </si>
  <si>
    <t>INF</t>
  </si>
  <si>
    <t>JDA (GIL WMS)</t>
  </si>
  <si>
    <t>INFOR (GIL WMS)</t>
  </si>
  <si>
    <t>Added JDA and INF as selectable system names. And "EDIID" will now be prevented from appearing in map names.</t>
  </si>
  <si>
    <t>Number Of Maps</t>
  </si>
  <si>
    <t>Number Of Code Lists</t>
  </si>
  <si>
    <t>Number Of Stylesheets</t>
  </si>
  <si>
    <t>Clicking the button after decreasing the Number Of Stylesheets number will not remove stylesheets.</t>
  </si>
  <si>
    <t>Clicking the button after decreasing the Number Of Code Lists number will not remove code lists.</t>
  </si>
  <si>
    <t>Clicking the button after decreasing the Number Of Maps number will not remove maps.</t>
  </si>
  <si>
    <r>
      <t xml:space="preserve">Fixed values based on wrong Email User Account naming convention in "Mail client adapter settings" worksheet.
Changed the "Master data" and "Resource and file naming" worksheets so that the number of tables required for maps, code lists and stylesheets will be generated  based on user input. Tables will only be </t>
    </r>
    <r>
      <rPr>
        <b/>
        <i/>
        <sz val="11"/>
        <color theme="1"/>
        <rFont val="Calibri"/>
        <family val="2"/>
        <scheme val="minor"/>
      </rPr>
      <t>added</t>
    </r>
    <r>
      <rPr>
        <sz val="11"/>
        <color theme="1"/>
        <rFont val="Calibri"/>
        <family val="2"/>
        <scheme val="minor"/>
      </rPr>
      <t xml:space="preserve"> this way, not removed by entering a smaller number.</t>
    </r>
  </si>
  <si>
    <t>Changed suffix for Lightwell Framework rule export files from .xml to .json.</t>
  </si>
  <si>
    <t>Partner Contact Name</t>
  </si>
  <si>
    <t>Partner Contact E-mail address</t>
  </si>
  <si>
    <t>Partner Contact Phone</t>
  </si>
  <si>
    <t>DSV Contact Name</t>
  </si>
  <si>
    <t>DSV Contact E-mail address</t>
  </si>
  <si>
    <t>DSV Contact Phone</t>
  </si>
  <si>
    <t>Divisions</t>
  </si>
  <si>
    <t>Countries</t>
  </si>
  <si>
    <t>Regions</t>
  </si>
  <si>
    <t>Partner Technical Contact E-mail address</t>
  </si>
  <si>
    <t>Comma-separated list of two-character country codes in which LW FW Identity is operating.</t>
  </si>
  <si>
    <t>Comma-separated list of regions in which LW FW Identity is operating.
Valid values are: AFRI, AMER, APAC, EMEA.</t>
  </si>
  <si>
    <t>Comma-separated list of divisions exchanging EDI documents with this LW FW Identity.
Valid values are: Air, Courier, Rail, Road, Sea, Solutions, Lead Logistics</t>
  </si>
  <si>
    <t>Added the new mandatory fields for FW identities.</t>
  </si>
  <si>
    <t>Fixed wrong naming of ValidationLookup code lists.</t>
  </si>
  <si>
    <t>Server Protocol</t>
  </si>
  <si>
    <t>FTP</t>
  </si>
  <si>
    <t>SFTP</t>
  </si>
  <si>
    <t>Used to determine the Authentication Host</t>
  </si>
  <si>
    <t>Mailbox Protocol</t>
  </si>
  <si>
    <t xml:space="preserve">Updated external authentication method to choose from FTP and SFTP </t>
  </si>
  <si>
    <t>Sarah Dransfield</t>
  </si>
  <si>
    <t>Updated throughout to align terminology to ServiceNow (replace SRQ with RITM)</t>
  </si>
  <si>
    <t>ITX</t>
  </si>
  <si>
    <t>SI</t>
  </si>
  <si>
    <t>Map Type Options</t>
  </si>
  <si>
    <t>DESADV</t>
  </si>
  <si>
    <t>ORDERS</t>
  </si>
  <si>
    <t>856</t>
  </si>
  <si>
    <t>850</t>
  </si>
  <si>
    <t>855</t>
  </si>
  <si>
    <t>BLUJAY</t>
  </si>
  <si>
    <t>BLU</t>
  </si>
  <si>
    <t>Default</t>
  </si>
  <si>
    <t>ITX System Abbreviation</t>
  </si>
  <si>
    <t>Q</t>
  </si>
  <si>
    <t>R</t>
  </si>
  <si>
    <t>G</t>
  </si>
  <si>
    <t>S</t>
  </si>
  <si>
    <t>J</t>
  </si>
  <si>
    <t>I</t>
  </si>
  <si>
    <t>B</t>
  </si>
  <si>
    <t>T</t>
  </si>
  <si>
    <t>H</t>
  </si>
  <si>
    <t>O</t>
  </si>
  <si>
    <t>X</t>
  </si>
  <si>
    <t>W</t>
  </si>
  <si>
    <t>Z</t>
  </si>
  <si>
    <t>SI Message Type</t>
  </si>
  <si>
    <t>ITX Message type Equivalent</t>
  </si>
  <si>
    <t>IFTMIN</t>
  </si>
  <si>
    <t>SHP</t>
  </si>
  <si>
    <t>IFCSUM</t>
  </si>
  <si>
    <t>TRP</t>
  </si>
  <si>
    <t>FIV</t>
  </si>
  <si>
    <t>CREDITNOTE</t>
  </si>
  <si>
    <t>CRD</t>
  </si>
  <si>
    <t>IFTSTA</t>
  </si>
  <si>
    <t>STS</t>
  </si>
  <si>
    <t>IFTMCS</t>
  </si>
  <si>
    <t>CNF</t>
  </si>
  <si>
    <t>DEA</t>
  </si>
  <si>
    <t>INSDES</t>
  </si>
  <si>
    <t>DEO</t>
  </si>
  <si>
    <t>CIN</t>
  </si>
  <si>
    <t>ORD</t>
  </si>
  <si>
    <t>ASN</t>
  </si>
  <si>
    <t>DELFOR</t>
  </si>
  <si>
    <t>DSM</t>
  </si>
  <si>
    <t>DELJIT</t>
  </si>
  <si>
    <t>DJT</t>
  </si>
  <si>
    <t>INVRPT</t>
  </si>
  <si>
    <t>INR</t>
  </si>
  <si>
    <t>SIM</t>
  </si>
  <si>
    <t>SSM</t>
  </si>
  <si>
    <t>GEN-TRP</t>
  </si>
  <si>
    <t>810</t>
  </si>
  <si>
    <t>846</t>
  </si>
  <si>
    <t>860</t>
  </si>
  <si>
    <t>102</t>
  </si>
  <si>
    <t>242</t>
  </si>
  <si>
    <t>815</t>
  </si>
  <si>
    <t>864</t>
  </si>
  <si>
    <t>868</t>
  </si>
  <si>
    <t>993</t>
  </si>
  <si>
    <t>996</t>
  </si>
  <si>
    <t>997</t>
  </si>
  <si>
    <t>999</t>
  </si>
  <si>
    <t>103</t>
  </si>
  <si>
    <t>105</t>
  </si>
  <si>
    <t>113</t>
  </si>
  <si>
    <t>130</t>
  </si>
  <si>
    <t>131</t>
  </si>
  <si>
    <t>132</t>
  </si>
  <si>
    <t>133</t>
  </si>
  <si>
    <t>135</t>
  </si>
  <si>
    <t>138</t>
  </si>
  <si>
    <t>139</t>
  </si>
  <si>
    <t>144</t>
  </si>
  <si>
    <t>146</t>
  </si>
  <si>
    <t>147</t>
  </si>
  <si>
    <t>149</t>
  </si>
  <si>
    <t>150</t>
  </si>
  <si>
    <t>151</t>
  </si>
  <si>
    <t>152</t>
  </si>
  <si>
    <t>153</t>
  </si>
  <si>
    <t>154</t>
  </si>
  <si>
    <t>155</t>
  </si>
  <si>
    <t>157</t>
  </si>
  <si>
    <t>158</t>
  </si>
  <si>
    <t>175</t>
  </si>
  <si>
    <t>176</t>
  </si>
  <si>
    <t>179</t>
  </si>
  <si>
    <t>185</t>
  </si>
  <si>
    <t>188</t>
  </si>
  <si>
    <t>189</t>
  </si>
  <si>
    <t>190</t>
  </si>
  <si>
    <t>191</t>
  </si>
  <si>
    <t>194</t>
  </si>
  <si>
    <t>195</t>
  </si>
  <si>
    <t>196</t>
  </si>
  <si>
    <t>197</t>
  </si>
  <si>
    <t>198</t>
  </si>
  <si>
    <t>199</t>
  </si>
  <si>
    <t>200</t>
  </si>
  <si>
    <t>201</t>
  </si>
  <si>
    <t>202</t>
  </si>
  <si>
    <t>203</t>
  </si>
  <si>
    <t>205</t>
  </si>
  <si>
    <t>206</t>
  </si>
  <si>
    <t>245</t>
  </si>
  <si>
    <t>248</t>
  </si>
  <si>
    <t>259</t>
  </si>
  <si>
    <t>260</t>
  </si>
  <si>
    <t>261</t>
  </si>
  <si>
    <t>262</t>
  </si>
  <si>
    <t>263</t>
  </si>
  <si>
    <t>264</t>
  </si>
  <si>
    <t>265</t>
  </si>
  <si>
    <t>266</t>
  </si>
  <si>
    <t>280</t>
  </si>
  <si>
    <t>283</t>
  </si>
  <si>
    <t>288</t>
  </si>
  <si>
    <t>521</t>
  </si>
  <si>
    <t>527</t>
  </si>
  <si>
    <t>540</t>
  </si>
  <si>
    <t>811</t>
  </si>
  <si>
    <t>812</t>
  </si>
  <si>
    <t>813</t>
  </si>
  <si>
    <t>814</t>
  </si>
  <si>
    <t>819</t>
  </si>
  <si>
    <t>820</t>
  </si>
  <si>
    <t>821</t>
  </si>
  <si>
    <t>822</t>
  </si>
  <si>
    <t>823</t>
  </si>
  <si>
    <t>824</t>
  </si>
  <si>
    <t>826</t>
  </si>
  <si>
    <t>827</t>
  </si>
  <si>
    <t>829</t>
  </si>
  <si>
    <t>831</t>
  </si>
  <si>
    <t>828</t>
  </si>
  <si>
    <t>833</t>
  </si>
  <si>
    <t>844</t>
  </si>
  <si>
    <t>849</t>
  </si>
  <si>
    <t>872</t>
  </si>
  <si>
    <t>880</t>
  </si>
  <si>
    <t>104</t>
  </si>
  <si>
    <t>106</t>
  </si>
  <si>
    <t>107</t>
  </si>
  <si>
    <t>108</t>
  </si>
  <si>
    <t>109</t>
  </si>
  <si>
    <t>110</t>
  </si>
  <si>
    <t>114</t>
  </si>
  <si>
    <t>120</t>
  </si>
  <si>
    <t>121</t>
  </si>
  <si>
    <t>125</t>
  </si>
  <si>
    <t>126</t>
  </si>
  <si>
    <t>127</t>
  </si>
  <si>
    <t>128</t>
  </si>
  <si>
    <t>129</t>
  </si>
  <si>
    <t>160</t>
  </si>
  <si>
    <t>161</t>
  </si>
  <si>
    <t>163</t>
  </si>
  <si>
    <t>204</t>
  </si>
  <si>
    <t>210</t>
  </si>
  <si>
    <t>211</t>
  </si>
  <si>
    <t>212</t>
  </si>
  <si>
    <t>213</t>
  </si>
  <si>
    <t>214</t>
  </si>
  <si>
    <t>215</t>
  </si>
  <si>
    <t>216</t>
  </si>
  <si>
    <t>217</t>
  </si>
  <si>
    <t>218</t>
  </si>
  <si>
    <t>219</t>
  </si>
  <si>
    <t>220</t>
  </si>
  <si>
    <t>222</t>
  </si>
  <si>
    <t>223</t>
  </si>
  <si>
    <t>224</t>
  </si>
  <si>
    <t>225</t>
  </si>
  <si>
    <t>227</t>
  </si>
  <si>
    <t>228</t>
  </si>
  <si>
    <t>240</t>
  </si>
  <si>
    <t>250</t>
  </si>
  <si>
    <t>284</t>
  </si>
  <si>
    <t>285</t>
  </si>
  <si>
    <t>286</t>
  </si>
  <si>
    <t>300</t>
  </si>
  <si>
    <t>301</t>
  </si>
  <si>
    <t>303</t>
  </si>
  <si>
    <t>309</t>
  </si>
  <si>
    <t>310</t>
  </si>
  <si>
    <t>304</t>
  </si>
  <si>
    <t>311</t>
  </si>
  <si>
    <t>312</t>
  </si>
  <si>
    <t>313</t>
  </si>
  <si>
    <t>315</t>
  </si>
  <si>
    <t>317</t>
  </si>
  <si>
    <t>319</t>
  </si>
  <si>
    <t>322</t>
  </si>
  <si>
    <t>323</t>
  </si>
  <si>
    <t>324</t>
  </si>
  <si>
    <t>325</t>
  </si>
  <si>
    <t>326</t>
  </si>
  <si>
    <t>350</t>
  </si>
  <si>
    <t>352</t>
  </si>
  <si>
    <t>353</t>
  </si>
  <si>
    <t>354</t>
  </si>
  <si>
    <t>355</t>
  </si>
  <si>
    <t>356</t>
  </si>
  <si>
    <t>357</t>
  </si>
  <si>
    <t>358</t>
  </si>
  <si>
    <t>359</t>
  </si>
  <si>
    <t>361</t>
  </si>
  <si>
    <t>404</t>
  </si>
  <si>
    <t>410</t>
  </si>
  <si>
    <t>412</t>
  </si>
  <si>
    <t>414</t>
  </si>
  <si>
    <t>417</t>
  </si>
  <si>
    <t>418</t>
  </si>
  <si>
    <t>419</t>
  </si>
  <si>
    <t>420</t>
  </si>
  <si>
    <t>421</t>
  </si>
  <si>
    <t>422</t>
  </si>
  <si>
    <t>423</t>
  </si>
  <si>
    <t>424</t>
  </si>
  <si>
    <t>425</t>
  </si>
  <si>
    <t>426</t>
  </si>
  <si>
    <t>429</t>
  </si>
  <si>
    <t>431</t>
  </si>
  <si>
    <t>432</t>
  </si>
  <si>
    <t>433</t>
  </si>
  <si>
    <t>434</t>
  </si>
  <si>
    <t>435</t>
  </si>
  <si>
    <t>436</t>
  </si>
  <si>
    <t>437</t>
  </si>
  <si>
    <t>440</t>
  </si>
  <si>
    <t>451</t>
  </si>
  <si>
    <t>452</t>
  </si>
  <si>
    <t>453</t>
  </si>
  <si>
    <t>455</t>
  </si>
  <si>
    <t>456</t>
  </si>
  <si>
    <t>460</t>
  </si>
  <si>
    <t>466</t>
  </si>
  <si>
    <t>468</t>
  </si>
  <si>
    <t>470</t>
  </si>
  <si>
    <t>475</t>
  </si>
  <si>
    <t>463</t>
  </si>
  <si>
    <t>485</t>
  </si>
  <si>
    <t>486</t>
  </si>
  <si>
    <t>490</t>
  </si>
  <si>
    <t>492</t>
  </si>
  <si>
    <t>494</t>
  </si>
  <si>
    <t>601</t>
  </si>
  <si>
    <t>602</t>
  </si>
  <si>
    <t>603</t>
  </si>
  <si>
    <t>622</t>
  </si>
  <si>
    <t>715</t>
  </si>
  <si>
    <t>854</t>
  </si>
  <si>
    <t>858</t>
  </si>
  <si>
    <t>859</t>
  </si>
  <si>
    <t>920</t>
  </si>
  <si>
    <t>924</t>
  </si>
  <si>
    <t>925</t>
  </si>
  <si>
    <t>926</t>
  </si>
  <si>
    <t>928</t>
  </si>
  <si>
    <t>980</t>
  </si>
  <si>
    <t>990</t>
  </si>
  <si>
    <t>998</t>
  </si>
  <si>
    <t>101</t>
  </si>
  <si>
    <t>140</t>
  </si>
  <si>
    <t>141</t>
  </si>
  <si>
    <t>142</t>
  </si>
  <si>
    <t>143</t>
  </si>
  <si>
    <t>159</t>
  </si>
  <si>
    <t>170</t>
  </si>
  <si>
    <t>180</t>
  </si>
  <si>
    <t>244</t>
  </si>
  <si>
    <t>249</t>
  </si>
  <si>
    <t>251</t>
  </si>
  <si>
    <t>290</t>
  </si>
  <si>
    <t>501</t>
  </si>
  <si>
    <t>503</t>
  </si>
  <si>
    <t>504</t>
  </si>
  <si>
    <t>511</t>
  </si>
  <si>
    <t>517</t>
  </si>
  <si>
    <t>536</t>
  </si>
  <si>
    <t>561</t>
  </si>
  <si>
    <t>567</t>
  </si>
  <si>
    <t>568</t>
  </si>
  <si>
    <t>620</t>
  </si>
  <si>
    <t>625</t>
  </si>
  <si>
    <t>650</t>
  </si>
  <si>
    <t>753</t>
  </si>
  <si>
    <t>754</t>
  </si>
  <si>
    <t>805</t>
  </si>
  <si>
    <t>806</t>
  </si>
  <si>
    <t>816</t>
  </si>
  <si>
    <t>818</t>
  </si>
  <si>
    <t>830</t>
  </si>
  <si>
    <t>832</t>
  </si>
  <si>
    <t>836</t>
  </si>
  <si>
    <t>838</t>
  </si>
  <si>
    <t>839</t>
  </si>
  <si>
    <t>840</t>
  </si>
  <si>
    <t>841</t>
  </si>
  <si>
    <t>842</t>
  </si>
  <si>
    <t>843</t>
  </si>
  <si>
    <t>845</t>
  </si>
  <si>
    <t>847</t>
  </si>
  <si>
    <t>848</t>
  </si>
  <si>
    <t>851</t>
  </si>
  <si>
    <t>852</t>
  </si>
  <si>
    <t>853</t>
  </si>
  <si>
    <t>857</t>
  </si>
  <si>
    <t>861</t>
  </si>
  <si>
    <t>862</t>
  </si>
  <si>
    <t>863</t>
  </si>
  <si>
    <t>865</t>
  </si>
  <si>
    <t>866</t>
  </si>
  <si>
    <t>867</t>
  </si>
  <si>
    <t>869</t>
  </si>
  <si>
    <t>870</t>
  </si>
  <si>
    <t>871</t>
  </si>
  <si>
    <t>873</t>
  </si>
  <si>
    <t>874</t>
  </si>
  <si>
    <t>875</t>
  </si>
  <si>
    <t>876</t>
  </si>
  <si>
    <t>877</t>
  </si>
  <si>
    <t>878</t>
  </si>
  <si>
    <t>879</t>
  </si>
  <si>
    <t>881</t>
  </si>
  <si>
    <t>882</t>
  </si>
  <si>
    <t>883</t>
  </si>
  <si>
    <t>884</t>
  </si>
  <si>
    <t>885</t>
  </si>
  <si>
    <t>886</t>
  </si>
  <si>
    <t>887</t>
  </si>
  <si>
    <t>888</t>
  </si>
  <si>
    <t>889</t>
  </si>
  <si>
    <t>890</t>
  </si>
  <si>
    <t>891</t>
  </si>
  <si>
    <t>892</t>
  </si>
  <si>
    <t>893</t>
  </si>
  <si>
    <t>894</t>
  </si>
  <si>
    <t>895</t>
  </si>
  <si>
    <t>896</t>
  </si>
  <si>
    <t>897</t>
  </si>
  <si>
    <t>940</t>
  </si>
  <si>
    <t>943</t>
  </si>
  <si>
    <t>944</t>
  </si>
  <si>
    <t>945</t>
  </si>
  <si>
    <t>947</t>
  </si>
  <si>
    <t>SI Map description (for ITX maps)</t>
  </si>
  <si>
    <t>David Mitchell</t>
  </si>
  <si>
    <t>Excel Spreadsheet</t>
  </si>
  <si>
    <t>Information on map names for ITX</t>
  </si>
  <si>
    <r>
      <t>SSL_</t>
    </r>
    <r>
      <rPr>
        <i/>
        <sz val="11"/>
        <color theme="1"/>
        <rFont val="Arial"/>
        <family val="2"/>
      </rPr>
      <t>&lt;NameOfRemoteHost&gt;_[&lt;Description&gt;_]&lt;DateOfExpire&gt;_</t>
    </r>
    <r>
      <rPr>
        <sz val="11"/>
        <color theme="1"/>
        <rFont val="Arial"/>
        <family val="2"/>
      </rPr>
      <t>tdc</t>
    </r>
  </si>
  <si>
    <t>AAM</t>
  </si>
  <si>
    <t>DAM</t>
  </si>
  <si>
    <t>INM</t>
  </si>
  <si>
    <t>IMM</t>
  </si>
  <si>
    <t>PDM</t>
  </si>
  <si>
    <t>RAM</t>
  </si>
  <si>
    <t>RNM</t>
  </si>
  <si>
    <t>CDE</t>
  </si>
  <si>
    <t>CIM</t>
  </si>
  <si>
    <t>CER</t>
  </si>
  <si>
    <t>COM</t>
  </si>
  <si>
    <t>DOM</t>
  </si>
  <si>
    <t>FIM</t>
  </si>
  <si>
    <t>SCM</t>
  </si>
  <si>
    <t>SOM</t>
  </si>
  <si>
    <t>TMM</t>
  </si>
  <si>
    <t>WOC</t>
  </si>
  <si>
    <t>WOM</t>
  </si>
  <si>
    <t>STATUS</t>
  </si>
  <si>
    <t>ORDRSP</t>
  </si>
  <si>
    <t>ORR</t>
  </si>
  <si>
    <t>LTM</t>
  </si>
  <si>
    <t>LocalTransportBookingMessage</t>
  </si>
  <si>
    <t>LocalTransportBooking</t>
  </si>
  <si>
    <t>JOB</t>
  </si>
  <si>
    <t>CDM-WPM</t>
  </si>
  <si>
    <t>WPM</t>
  </si>
  <si>
    <t>CDM-CDM</t>
  </si>
  <si>
    <t>CDM</t>
  </si>
  <si>
    <t>CDM-WRC</t>
  </si>
  <si>
    <t>WRC</t>
  </si>
  <si>
    <t>CDM-WRCM</t>
  </si>
  <si>
    <t>CWM</t>
  </si>
  <si>
    <t>CDM-MSG</t>
  </si>
  <si>
    <t>MSG</t>
  </si>
  <si>
    <t>CDM-WCM</t>
  </si>
  <si>
    <t>WCM</t>
  </si>
  <si>
    <t>CDM-PLM</t>
  </si>
  <si>
    <t>PLM</t>
  </si>
  <si>
    <t>CDM-WIM</t>
  </si>
  <si>
    <t>WIM</t>
  </si>
  <si>
    <t>CDM-TMI</t>
  </si>
  <si>
    <t>TMI</t>
  </si>
  <si>
    <t>CDM-LTM</t>
  </si>
  <si>
    <t>CSI</t>
  </si>
  <si>
    <t>CDM-WRM</t>
  </si>
  <si>
    <t>WRM</t>
  </si>
  <si>
    <t>CDM-FSM</t>
  </si>
  <si>
    <t>FSM</t>
  </si>
  <si>
    <t>GEN-SHP</t>
  </si>
  <si>
    <t>GEN-ASN</t>
  </si>
  <si>
    <t>GEN-LTM</t>
  </si>
  <si>
    <t>GEN-CDE</t>
  </si>
  <si>
    <t>GEN-CIM</t>
  </si>
  <si>
    <t>GEN-FSM</t>
  </si>
  <si>
    <t>WMS-ACM</t>
  </si>
  <si>
    <t>ACM</t>
  </si>
  <si>
    <t>WMS-ACK</t>
  </si>
  <si>
    <t>ACK</t>
  </si>
  <si>
    <t>WHS-DEO</t>
  </si>
  <si>
    <t>WHS-RNM</t>
  </si>
  <si>
    <t>WHS-IMM</t>
  </si>
  <si>
    <t>WHS-PDM</t>
  </si>
  <si>
    <t>WHS-RAM</t>
  </si>
  <si>
    <t>WHS-INM</t>
  </si>
  <si>
    <t>WHS-AAM</t>
  </si>
  <si>
    <t>WHS-DAM</t>
  </si>
  <si>
    <t>APERAK</t>
  </si>
  <si>
    <t>APK</t>
  </si>
  <si>
    <t>IFTMBF</t>
  </si>
  <si>
    <t>MBF</t>
  </si>
  <si>
    <t>IFTMBP</t>
  </si>
  <si>
    <t>MBP</t>
  </si>
  <si>
    <t>IFTFCC</t>
  </si>
  <si>
    <t>FCC</t>
  </si>
  <si>
    <t>IFTMBC</t>
  </si>
  <si>
    <t>MBC</t>
  </si>
  <si>
    <t>PRODAT</t>
  </si>
  <si>
    <t>PRD</t>
  </si>
  <si>
    <t>PREADV</t>
  </si>
  <si>
    <t>PRA</t>
  </si>
  <si>
    <t>SKUHAZ</t>
  </si>
  <si>
    <t>SHZ</t>
  </si>
  <si>
    <t>INVBAL/INVBALANCE</t>
  </si>
  <si>
    <t>BAL</t>
  </si>
  <si>
    <t>PO</t>
  </si>
  <si>
    <t>POR</t>
  </si>
  <si>
    <t>SO</t>
  </si>
  <si>
    <t>SOR</t>
  </si>
  <si>
    <t>CUSTORDER</t>
  </si>
  <si>
    <t>COR</t>
  </si>
  <si>
    <t>BACKORDER</t>
  </si>
  <si>
    <t>BOR</t>
  </si>
  <si>
    <t>STOCKREPORT</t>
  </si>
  <si>
    <t>STK</t>
  </si>
  <si>
    <t>BOOKING</t>
  </si>
  <si>
    <t>BKG</t>
  </si>
  <si>
    <t>POD</t>
  </si>
  <si>
    <t>ORDER</t>
  </si>
  <si>
    <t>TRANSPORTBOOKING</t>
  </si>
  <si>
    <t>TBK</t>
  </si>
  <si>
    <t>SLSRPT/SALESREP/SALESREPORT</t>
  </si>
  <si>
    <t>SLR</t>
  </si>
  <si>
    <t>BOOKINGCOL</t>
  </si>
  <si>
    <t>BCL</t>
  </si>
  <si>
    <t>BOOKINGDEL</t>
  </si>
  <si>
    <t>BDL</t>
  </si>
  <si>
    <t>SHIPMENT</t>
  </si>
  <si>
    <t>ORDERSCSV</t>
  </si>
  <si>
    <t>OCS</t>
  </si>
  <si>
    <t>CONSOLE</t>
  </si>
  <si>
    <t>CNS</t>
  </si>
  <si>
    <t>ORDPACK</t>
  </si>
  <si>
    <t>OPK</t>
  </si>
  <si>
    <t>STATUSCSV</t>
  </si>
  <si>
    <t>SCS</t>
  </si>
  <si>
    <t>INVADJ</t>
  </si>
  <si>
    <t>ADJ</t>
  </si>
  <si>
    <t>HANMOV</t>
  </si>
  <si>
    <t>HMO</t>
  </si>
  <si>
    <t>SHIPMENTSTATUS</t>
  </si>
  <si>
    <t>SHS</t>
  </si>
  <si>
    <t>SHIPMENTORDER</t>
  </si>
  <si>
    <t>PICKREQUEST</t>
  </si>
  <si>
    <t>PRQ</t>
  </si>
  <si>
    <t>CONFIRMATION</t>
  </si>
  <si>
    <t>ORDCONS</t>
  </si>
  <si>
    <t>OCN</t>
  </si>
  <si>
    <t>SPECINS</t>
  </si>
  <si>
    <t>SPC</t>
  </si>
  <si>
    <t>SKU</t>
  </si>
  <si>
    <t>MANIFEST</t>
  </si>
  <si>
    <t>MAN</t>
  </si>
  <si>
    <t>CUSTDEC</t>
  </si>
  <si>
    <t>CDC</t>
  </si>
  <si>
    <t>COSTADV</t>
  </si>
  <si>
    <t>COS</t>
  </si>
  <si>
    <t>IMPORTDATA</t>
  </si>
  <si>
    <t>IMP</t>
  </si>
  <si>
    <t>MATMAS</t>
  </si>
  <si>
    <t>MTM</t>
  </si>
  <si>
    <t>STORAGESUBMIT</t>
  </si>
  <si>
    <t>SSU</t>
  </si>
  <si>
    <t>GXML</t>
  </si>
  <si>
    <t>GXL</t>
  </si>
  <si>
    <t>CSVREPORT</t>
  </si>
  <si>
    <t>CSR</t>
  </si>
  <si>
    <t>CONSIGNMENT</t>
  </si>
  <si>
    <t>CSG</t>
  </si>
  <si>
    <t>POSTPROCESS</t>
  </si>
  <si>
    <t>PPR</t>
  </si>
  <si>
    <t>CUSTOMERMASTER</t>
  </si>
  <si>
    <t>CMA</t>
  </si>
  <si>
    <t>STOCKTRANSACTION</t>
  </si>
  <si>
    <t>STT</t>
  </si>
  <si>
    <t>SKUREPORT</t>
  </si>
  <si>
    <t>SKR</t>
  </si>
  <si>
    <t>IMPINVREP</t>
  </si>
  <si>
    <t>IIR</t>
  </si>
  <si>
    <t>PCKCNFRM</t>
  </si>
  <si>
    <t>PKC</t>
  </si>
  <si>
    <t>USENTRY</t>
  </si>
  <si>
    <t>USE</t>
  </si>
  <si>
    <t>DSVORDERS</t>
  </si>
  <si>
    <t>DSO</t>
  </si>
  <si>
    <t>CUS</t>
  </si>
  <si>
    <t>COMMINV</t>
  </si>
  <si>
    <t>COI</t>
  </si>
  <si>
    <t>INCOMINGFREIGHT</t>
  </si>
  <si>
    <t>LPL</t>
  </si>
  <si>
    <t>GEODATA</t>
  </si>
  <si>
    <t>GEO</t>
  </si>
  <si>
    <t>PROALFA</t>
  </si>
  <si>
    <t>PAF</t>
  </si>
  <si>
    <t>TRPBOOKING</t>
  </si>
  <si>
    <t>TRB</t>
  </si>
  <si>
    <t>LOADPAL</t>
  </si>
  <si>
    <t>LOP</t>
  </si>
  <si>
    <t>OSTRPT</t>
  </si>
  <si>
    <t>OSR</t>
  </si>
  <si>
    <t>CLCSV</t>
  </si>
  <si>
    <t>CLC</t>
  </si>
  <si>
    <t>CDF</t>
  </si>
  <si>
    <t>RECHAUS</t>
  </si>
  <si>
    <t>RHA</t>
  </si>
  <si>
    <t>OUTBOUNDORDER</t>
  </si>
  <si>
    <t>OOR</t>
  </si>
  <si>
    <t>DESADVSUM</t>
  </si>
  <si>
    <t>DVS</t>
  </si>
  <si>
    <t>CSVINV</t>
  </si>
  <si>
    <t>CVI</t>
  </si>
  <si>
    <t>ADJCONS</t>
  </si>
  <si>
    <t>AJC</t>
  </si>
  <si>
    <t>CSVINVSERIAL</t>
  </si>
  <si>
    <t>CIS</t>
  </si>
  <si>
    <t>STOCKPO</t>
  </si>
  <si>
    <t>SPO</t>
  </si>
  <si>
    <t>MATERIA2</t>
  </si>
  <si>
    <t>MA2</t>
  </si>
  <si>
    <t>STOCKVAS</t>
  </si>
  <si>
    <t>SVA</t>
  </si>
  <si>
    <t>INVCORR</t>
  </si>
  <si>
    <t>ICR</t>
  </si>
  <si>
    <t>NEWSKU</t>
  </si>
  <si>
    <t>NSK</t>
  </si>
  <si>
    <t>INBOUNDDELIVERY/IBDLY</t>
  </si>
  <si>
    <t>IDV</t>
  </si>
  <si>
    <t>OUTBOUNDDELIVERY</t>
  </si>
  <si>
    <t>ODV</t>
  </si>
  <si>
    <t>GOODSRECEIPTNOTE</t>
  </si>
  <si>
    <t>GRN</t>
  </si>
  <si>
    <t>POSTATUS</t>
  </si>
  <si>
    <t>POS</t>
  </si>
  <si>
    <t>SHPCTN</t>
  </si>
  <si>
    <t>CTN</t>
  </si>
  <si>
    <t>RCPTINSTR</t>
  </si>
  <si>
    <t>RIN</t>
  </si>
  <si>
    <t>MOVEASN</t>
  </si>
  <si>
    <t>MOA</t>
  </si>
  <si>
    <t>PRODUCTS</t>
  </si>
  <si>
    <t>PRO</t>
  </si>
  <si>
    <t>BOOKINGAMENDMENT</t>
  </si>
  <si>
    <t>BAM</t>
  </si>
  <si>
    <t>INVENTORYSNAPSHOT</t>
  </si>
  <si>
    <t>ISS</t>
  </si>
  <si>
    <t>TRANSPORTMASTERUPDATE</t>
  </si>
  <si>
    <t>TMU</t>
  </si>
  <si>
    <t>TRANSPORTINSTRUCTIONRESPONSE</t>
  </si>
  <si>
    <t>TIR</t>
  </si>
  <si>
    <t>ORDSTS</t>
  </si>
  <si>
    <t>ORS</t>
  </si>
  <si>
    <t>UPIREC</t>
  </si>
  <si>
    <t>UPI</t>
  </si>
  <si>
    <t>MASTER</t>
  </si>
  <si>
    <t>MAS</t>
  </si>
  <si>
    <t>COMPLETE</t>
  </si>
  <si>
    <t>CMP</t>
  </si>
  <si>
    <t>SALESTRANSACTIONS</t>
  </si>
  <si>
    <t>SAL</t>
  </si>
  <si>
    <t>PRICAT</t>
  </si>
  <si>
    <t>PRI</t>
  </si>
  <si>
    <t>ARTICLE</t>
  </si>
  <si>
    <t>ART</t>
  </si>
  <si>
    <t>WORDER</t>
  </si>
  <si>
    <t>WOR</t>
  </si>
  <si>
    <t>EXPECTEDRECEIPT</t>
  </si>
  <si>
    <t>EXR</t>
  </si>
  <si>
    <t>WAREHOUSE</t>
  </si>
  <si>
    <t>WHS</t>
  </si>
  <si>
    <t>BOOKINGRESPONSE</t>
  </si>
  <si>
    <t>BKR</t>
  </si>
  <si>
    <t>Updated to incorporate ITX map names and also added new systems (BluJay), message type lookup plus Spreadsheet type</t>
  </si>
  <si>
    <t>Source ID Lookup Code List</t>
  </si>
  <si>
    <t>Encoding code list - Receive</t>
  </si>
  <si>
    <t>&lt;Please see the "Encoding" worksheet for details&gt;</t>
  </si>
  <si>
    <t>Encoding code list - Send</t>
  </si>
  <si>
    <t>Resource Tag</t>
  </si>
  <si>
    <t>Updated to resolve issues with incorrect codelist positioning and re-add required logic</t>
  </si>
  <si>
    <t>Added extra look-ups for INVOIC/INVOICE</t>
  </si>
  <si>
    <t>INVOIC</t>
  </si>
  <si>
    <t>INVOICE</t>
  </si>
  <si>
    <t>INVOIC (commercial)</t>
  </si>
  <si>
    <t>INVOICE (commercial)</t>
  </si>
  <si>
    <t>??? indicates we have not created a default 3-char code for this message type. Please check column T in the DropDown sheet to see if there is an appropriate message type to use. Any queries then please reach out to the Tech Team</t>
  </si>
  <si>
    <t>C2N</t>
  </si>
  <si>
    <t>Variable Length Delimited to JSON</t>
  </si>
  <si>
    <t>D2N</t>
  </si>
  <si>
    <t>Flatfile Delimited to JSON</t>
  </si>
  <si>
    <t>E2N</t>
  </si>
  <si>
    <t>ANSI X12/EDIFACT/VDA to JSON</t>
  </si>
  <si>
    <t>P2N</t>
  </si>
  <si>
    <t>Flatfile Positional to JSON</t>
  </si>
  <si>
    <t>X2N</t>
  </si>
  <si>
    <t>XML to JSON</t>
  </si>
  <si>
    <t>N2C</t>
  </si>
  <si>
    <t>JSON to Variable Length Delimited</t>
  </si>
  <si>
    <t>N2D</t>
  </si>
  <si>
    <t>JSON to Flatfile Delimited</t>
  </si>
  <si>
    <t>N2E</t>
  </si>
  <si>
    <t>JSON to ANSI X12/EDIFACT/VDA</t>
  </si>
  <si>
    <t>N2N</t>
  </si>
  <si>
    <t>JSON to JSON</t>
  </si>
  <si>
    <t>N2P</t>
  </si>
  <si>
    <t>JSON to Flatfile Positional</t>
  </si>
  <si>
    <t>N2X</t>
  </si>
  <si>
    <t>JSON to XML</t>
  </si>
  <si>
    <t>JSON</t>
  </si>
  <si>
    <t>N</t>
  </si>
  <si>
    <t>Added JSON message type to the Source- and Destination Formats table and combined Source- and Destination Formats table</t>
  </si>
  <si>
    <t>Correct lookup range for JSON formats</t>
  </si>
  <si>
    <t>LW FW document rule export file</t>
  </si>
  <si>
    <t>Add row in Resource and file naming tab for LW document rule export files</t>
  </si>
  <si>
    <t>RECADV</t>
  </si>
  <si>
    <t>REA</t>
  </si>
  <si>
    <t>TRANSPORT</t>
  </si>
  <si>
    <t>Add lookups for RECADV (REA), TRANSPORT (TRP), include ITX Difference Character in SI map name, force UPPERCASE on Version for ITX map name</t>
  </si>
  <si>
    <t>Update logic to trim leftmost 7 chars of Partner Code for ITX map names and maintain full name length elsewhere</t>
  </si>
  <si>
    <t>3rd Party Partner Name</t>
  </si>
  <si>
    <t>If a 3rd. party partner is used, enter the 3rd Party Partner Name here. Used in LW FW identities.</t>
  </si>
  <si>
    <t>SI or ITX Map and/or Code Lists</t>
  </si>
  <si>
    <r>
      <rPr>
        <b/>
        <sz val="11"/>
        <color theme="1"/>
        <rFont val="Calibri"/>
        <family val="2"/>
        <scheme val="minor"/>
      </rPr>
      <t xml:space="preserve">Note: </t>
    </r>
    <r>
      <rPr>
        <sz val="11"/>
        <color theme="1"/>
        <rFont val="Calibri"/>
        <family val="2"/>
        <scheme val="minor"/>
      </rPr>
      <t xml:space="preserve">If an ITX map or ITXA code list will be in the deploy package, this value must be ITX.
</t>
    </r>
    <r>
      <rPr>
        <b/>
        <sz val="11"/>
        <color theme="1"/>
        <rFont val="Calibri"/>
        <family val="2"/>
        <scheme val="minor"/>
      </rPr>
      <t>Note:</t>
    </r>
    <r>
      <rPr>
        <sz val="11"/>
        <color theme="1"/>
        <rFont val="Calibri"/>
        <family val="2"/>
        <scheme val="minor"/>
      </rPr>
      <t xml:space="preserve"> Selecting SI or ITX in the Master Data tab impacts the macros run. If you select the wrong option and need to change this value, please close and re-open the tool. Changing the dropdown after data has already been populated will not produce the correct result</t>
    </r>
  </si>
  <si>
    <t>C2S</t>
  </si>
  <si>
    <t>Variable Length Delimited to Excel Spreadsheet</t>
  </si>
  <si>
    <t>D2S</t>
  </si>
  <si>
    <t>Flatfile Delimited to Excel Spreadsheet</t>
  </si>
  <si>
    <t>E2S</t>
  </si>
  <si>
    <t>ANSI X12/EDIFACT/VDA to Excel Spreadsheet</t>
  </si>
  <si>
    <t>P2S</t>
  </si>
  <si>
    <t>Flatfile Positional to Excel Spreadsheet</t>
  </si>
  <si>
    <t>X2S</t>
  </si>
  <si>
    <t>XML to Excel Spreadsheet</t>
  </si>
  <si>
    <t>N2S</t>
  </si>
  <si>
    <t>JSON to Excel Spreadsheet</t>
  </si>
  <si>
    <t>S2C</t>
  </si>
  <si>
    <t>S2D</t>
  </si>
  <si>
    <t>S2E</t>
  </si>
  <si>
    <t>S2N</t>
  </si>
  <si>
    <t>S2P</t>
  </si>
  <si>
    <t>S2S</t>
  </si>
  <si>
    <t>S2X</t>
  </si>
  <si>
    <t>Excel Spreadsheet to Variable Length Delimited</t>
  </si>
  <si>
    <t>Excel Spreadsheet to Flatfile Delimited</t>
  </si>
  <si>
    <t>Excel Spreadsheet to ANSI X12/EDIFACT/VDA</t>
  </si>
  <si>
    <t>Excel Spreadsheet to JSON</t>
  </si>
  <si>
    <t>Excel Spreadsheet to Flatfile Positional</t>
  </si>
  <si>
    <t>Excel Spreadsheet to Excel Spreadsheet</t>
  </si>
  <si>
    <t>Excel Spreadsheet to XML</t>
  </si>
  <si>
    <t>1) Added field for 3PP PartnerName (LW FW Identities). 
2) Replace "@" with "_at_" in user names when creating SI FTP/SFTP/HTTP/HTTPS profiles. 
3) Added comment about default value for System in ITX map names. 
4) When the ITX flag is selected in cell B17 in the Master Data worksheet, "ITXA" will be added to the resource tag name and the resource tag export file name.
5) Added Excel Spreadsheet to source/destination options
6) Added padding 'x' characters to final part of ITX map names</t>
  </si>
  <si>
    <t>PDF</t>
  </si>
  <si>
    <t>F</t>
  </si>
  <si>
    <t>BLOB/Multi-format</t>
  </si>
  <si>
    <t>B2B</t>
  </si>
  <si>
    <t>B2C</t>
  </si>
  <si>
    <t>B2D</t>
  </si>
  <si>
    <t>B2E</t>
  </si>
  <si>
    <t>B2F</t>
  </si>
  <si>
    <t>B2N</t>
  </si>
  <si>
    <t>B2P</t>
  </si>
  <si>
    <t>B2S</t>
  </si>
  <si>
    <t>B2X</t>
  </si>
  <si>
    <t>F2B</t>
  </si>
  <si>
    <t>F2C</t>
  </si>
  <si>
    <t>F2D</t>
  </si>
  <si>
    <t>F2E</t>
  </si>
  <si>
    <t>F2F</t>
  </si>
  <si>
    <t>F2N</t>
  </si>
  <si>
    <t>F2P</t>
  </si>
  <si>
    <t>F2S</t>
  </si>
  <si>
    <t>F2X</t>
  </si>
  <si>
    <t>The cells below are concatenated into cell X2, above.</t>
  </si>
  <si>
    <t>Added new Source- and Destination format codes for map names:
PDF is an "F".
BLOB/Multi-format is a "B".
Added Hint about what to enter in the description field for ValidationLookup code lists. (See comment for v31, above.)</t>
  </si>
  <si>
    <t>BLOB/Multi-format to BLOB/Multi-format</t>
  </si>
  <si>
    <t>BLOB/Multi-format to Variable Length Delimited</t>
  </si>
  <si>
    <t>BLOB/Multi-format to Flatfile Delimited</t>
  </si>
  <si>
    <t>BLOB/Multi-format to ANSI X12/EDIFACT/VDA</t>
  </si>
  <si>
    <t>BLOB/Multi-format to PDF</t>
  </si>
  <si>
    <t>BLOB/Multi-format to JSON</t>
  </si>
  <si>
    <t>BLOB/Multi-format to Flatfile Positional</t>
  </si>
  <si>
    <t>BLOB/Multi-format to Excel Spreadsheet</t>
  </si>
  <si>
    <t>BLOB/Multi-format to XML</t>
  </si>
  <si>
    <t>PDF to BLOB/Multi-format</t>
  </si>
  <si>
    <t>PDF to Variable Length Delimited</t>
  </si>
  <si>
    <t>PDF to Flatfile Delimited</t>
  </si>
  <si>
    <t>PDF to ANSI X12/EDIFACT/VDA</t>
  </si>
  <si>
    <t>PDF to PDF</t>
  </si>
  <si>
    <t>PDF to JSON</t>
  </si>
  <si>
    <t>PDF to Flatfile Positional</t>
  </si>
  <si>
    <t>PDF to Excel Spreadsheet</t>
  </si>
  <si>
    <t>PDF to XML</t>
  </si>
  <si>
    <r>
      <t xml:space="preserve">For </t>
    </r>
    <r>
      <rPr>
        <b/>
        <sz val="11"/>
        <color theme="1"/>
        <rFont val="Calibri"/>
        <family val="2"/>
        <scheme val="minor"/>
      </rPr>
      <t>ValidationLookup</t>
    </r>
    <r>
      <rPr>
        <sz val="11"/>
        <color theme="1"/>
        <rFont val="Calibri"/>
        <family val="2"/>
        <scheme val="minor"/>
      </rPr>
      <t xml:space="preserve"> code lists, only enter "ValidationLookup" as the description.
For </t>
    </r>
    <r>
      <rPr>
        <b/>
        <sz val="11"/>
        <color theme="1"/>
        <rFont val="Calibri"/>
        <family val="2"/>
        <scheme val="minor"/>
      </rPr>
      <t>Encoding</t>
    </r>
    <r>
      <rPr>
        <sz val="11"/>
        <color theme="1"/>
        <rFont val="Calibri"/>
        <family val="2"/>
        <scheme val="minor"/>
      </rPr>
      <t xml:space="preserve"> code lists, set relevant row(-s) in Selection worksheet to TRUE, and see Encoding worksheet for results.</t>
    </r>
  </si>
  <si>
    <t>Fixed error where not all combinations of source and destination formats appeared in the map naming tables in the Master data worksheet.</t>
  </si>
  <si>
    <t>Remove " (COMMERCIAL)" from SI name when INVOIC (commercial)/INVOICE (commercial) is selected as the ITX source/destination format
Update resource tag section so that SI RT naming convention is included for ITX resource, and RT is dropped for ITX resources themselves</t>
  </si>
  <si>
    <t>LW FW Identity - Organization name types</t>
  </si>
  <si>
    <t>Third party solution - multiple customers - same identifier</t>
  </si>
  <si>
    <t>Third party solution - multiple customers - unique identifiers</t>
  </si>
  <si>
    <t>Customer connection - via third party</t>
  </si>
  <si>
    <t>Customer connection - direct</t>
  </si>
  <si>
    <t>LW FW Identity Organization Name Type</t>
  </si>
  <si>
    <t>No 3rd party involved.</t>
  </si>
  <si>
    <t>Unique identifier for customer used. 3rd party involved, but only for the connection.</t>
  </si>
  <si>
    <t>The same identifier is used for all customers. Customers are added via code list updates.</t>
  </si>
  <si>
    <t>Unique identifier for customer used. 3rd party involved.</t>
  </si>
  <si>
    <t>LW FW Identity - Organization name types - Description</t>
  </si>
  <si>
    <t>This table is used for Organization name and in a VLOOKUP for Organization name types in the Identities worksheet.</t>
  </si>
  <si>
    <t>- Added check if there is a value in "SI or ITX Map and/or Code Lists".
- Added autofit on map name rows in "Resource and file naming" worksheet.
- Added split flag field for maps.
- Corrected default value for System in ITX maps so it now is "Z" if no value selected.
- Added new field "LW FW Identity Organization Name Type" in the Identities worksheet to support new rules for Identity Organization Name rules published by Sylwia Marciniuk on Teams in the EIM EDI General channel on 2024-04-11.</t>
  </si>
  <si>
    <t>RITM/EDIT number</t>
  </si>
  <si>
    <t>Enter RITM/EDIT number including the prefixed "RITM"/"EDIT". Used in RT and document naming.</t>
  </si>
  <si>
    <t>The SI RT name will be generated in column C for ITX maps/codelists, to be used if there are any SI components (e.g. communications setups) that are being deployed as part of the RITM/EDIT.</t>
  </si>
  <si>
    <t>The SI RT export file name will be generated in column C for ITX maps/codelists, to be used if there are any SI components (e.g. communications setups) that are being deployed as part of the RITM/EDIT.</t>
  </si>
  <si>
    <t>ORDCHG</t>
  </si>
  <si>
    <t>OCH</t>
  </si>
  <si>
    <t>IFTMCA</t>
  </si>
  <si>
    <t>MCA</t>
  </si>
  <si>
    <r>
      <t xml:space="preserve">For </t>
    </r>
    <r>
      <rPr>
        <b/>
        <sz val="11"/>
        <color theme="1"/>
        <rFont val="Calibri"/>
        <family val="2"/>
        <scheme val="minor"/>
      </rPr>
      <t>XML identification rules</t>
    </r>
    <r>
      <rPr>
        <sz val="11"/>
        <color theme="1"/>
        <rFont val="Calibri"/>
        <family val="2"/>
        <scheme val="minor"/>
      </rPr>
      <t>, select no PartnerCode. Functionality must be [RootTag]_[CustomerName]_XML_Id if for one message type, or [CustomerName]_XML_Id if for multiple message types. Constructed name cannot exceed 50 characters, if it does please shorten the functionality and check with the Tech Team that the shortening is appropriate.</t>
    </r>
  </si>
  <si>
    <t>Updated throughout to include terminology for Holly (catering for EDIT Number as well as RITM Number), add alert if generated XSLT name &gt; 50 characters, set aes256-ctr as default cipher</t>
  </si>
  <si>
    <t>RESPONSE</t>
  </si>
  <si>
    <t>RSP</t>
  </si>
  <si>
    <t>Added RESPONSE/RSP message type for map names</t>
  </si>
  <si>
    <t>PCN</t>
  </si>
  <si>
    <t>PICKUPREQUESTCANCEL</t>
  </si>
  <si>
    <t>SHIPMENTREQUEST</t>
  </si>
  <si>
    <t>SHIPMENTREQUESTCANCEL</t>
  </si>
  <si>
    <t>SHR</t>
  </si>
  <si>
    <t>SCN</t>
  </si>
  <si>
    <t>Added message types SHIPMENTREQUEST/SHR, SHIPMENTREQUESTCANCEL/SCN, and PICKUPREQUESTCANCEL/PCN. Changed value for SSH password for SFTP Client to mention the Confluence page for SFTP client passwords.</t>
  </si>
  <si>
    <t>CDM-SCH</t>
  </si>
  <si>
    <t>SCH</t>
  </si>
  <si>
    <t>GEN-SCH</t>
  </si>
  <si>
    <t>Added message types CDM-SCH/SCH and GEN-SCH/SCH (ShipmentChargesMessage).</t>
  </si>
  <si>
    <t>METADATA</t>
  </si>
  <si>
    <t>MTA</t>
  </si>
  <si>
    <t>Added message type METADATA/MTA.</t>
  </si>
  <si>
    <t>0A1</t>
  </si>
  <si>
    <t>0C1</t>
  </si>
  <si>
    <t>0C2</t>
  </si>
  <si>
    <t>0C3</t>
  </si>
  <si>
    <t>0C4</t>
  </si>
  <si>
    <t>1A1</t>
  </si>
  <si>
    <t>1A2</t>
  </si>
  <si>
    <t>2A1</t>
  </si>
  <si>
    <t>2A10</t>
  </si>
  <si>
    <t>2AA</t>
  </si>
  <si>
    <t>2A12</t>
  </si>
  <si>
    <t>2AC</t>
  </si>
  <si>
    <t>2A13</t>
  </si>
  <si>
    <t>2AD</t>
  </si>
  <si>
    <t>2A15</t>
  </si>
  <si>
    <t>2AF</t>
  </si>
  <si>
    <t>2A16</t>
  </si>
  <si>
    <t>2AG</t>
  </si>
  <si>
    <t>2A17</t>
  </si>
  <si>
    <t>2AH</t>
  </si>
  <si>
    <t>2A18</t>
  </si>
  <si>
    <t>2AI</t>
  </si>
  <si>
    <t>2A3</t>
  </si>
  <si>
    <t>2A4</t>
  </si>
  <si>
    <t>2A6</t>
  </si>
  <si>
    <t>2A7</t>
  </si>
  <si>
    <t>2A9</t>
  </si>
  <si>
    <t>2B1</t>
  </si>
  <si>
    <t>2B2</t>
  </si>
  <si>
    <t>2B3</t>
  </si>
  <si>
    <t>2B4</t>
  </si>
  <si>
    <t>2B5</t>
  </si>
  <si>
    <t>2B7</t>
  </si>
  <si>
    <t>2B8</t>
  </si>
  <si>
    <t>2B9</t>
  </si>
  <si>
    <t>2C1</t>
  </si>
  <si>
    <t>2C10</t>
  </si>
  <si>
    <t>2CA</t>
  </si>
  <si>
    <t>2C11</t>
  </si>
  <si>
    <t>2CB</t>
  </si>
  <si>
    <t>2C12</t>
  </si>
  <si>
    <t>2CC</t>
  </si>
  <si>
    <t>2C2</t>
  </si>
  <si>
    <t>2C3</t>
  </si>
  <si>
    <t>2C4</t>
  </si>
  <si>
    <t>2C5</t>
  </si>
  <si>
    <t>2C6</t>
  </si>
  <si>
    <t>2C7</t>
  </si>
  <si>
    <t>2C8</t>
  </si>
  <si>
    <t>2C9</t>
  </si>
  <si>
    <t>3A1</t>
  </si>
  <si>
    <t>3A10</t>
  </si>
  <si>
    <t>3AA</t>
  </si>
  <si>
    <t>3A13</t>
  </si>
  <si>
    <t>3AD</t>
  </si>
  <si>
    <t>3A14</t>
  </si>
  <si>
    <t>3AE</t>
  </si>
  <si>
    <t>3A15</t>
  </si>
  <si>
    <t>3AF</t>
  </si>
  <si>
    <t>3A16</t>
  </si>
  <si>
    <t>3AG</t>
  </si>
  <si>
    <t>3A17</t>
  </si>
  <si>
    <t>3AH</t>
  </si>
  <si>
    <t>3A18</t>
  </si>
  <si>
    <t>3AI</t>
  </si>
  <si>
    <t>3A19</t>
  </si>
  <si>
    <t>3AJ</t>
  </si>
  <si>
    <t>3A2</t>
  </si>
  <si>
    <t>3A20</t>
  </si>
  <si>
    <t>3AK</t>
  </si>
  <si>
    <t>3A21</t>
  </si>
  <si>
    <t>3AL</t>
  </si>
  <si>
    <t>3A22</t>
  </si>
  <si>
    <t>3AM</t>
  </si>
  <si>
    <t>3A23</t>
  </si>
  <si>
    <t>3AN</t>
  </si>
  <si>
    <t>3A24</t>
  </si>
  <si>
    <t>3AO</t>
  </si>
  <si>
    <t>3A3</t>
  </si>
  <si>
    <t>3A4</t>
  </si>
  <si>
    <t>3A5</t>
  </si>
  <si>
    <t>3A6</t>
  </si>
  <si>
    <t>3A7</t>
  </si>
  <si>
    <t>3A8</t>
  </si>
  <si>
    <t>3A9</t>
  </si>
  <si>
    <t>3B1</t>
  </si>
  <si>
    <t>3B11</t>
  </si>
  <si>
    <t>3BB</t>
  </si>
  <si>
    <t>3B12</t>
  </si>
  <si>
    <t>3BC</t>
  </si>
  <si>
    <t>3B13</t>
  </si>
  <si>
    <t>3BD</t>
  </si>
  <si>
    <t>3B14</t>
  </si>
  <si>
    <t>3BE</t>
  </si>
  <si>
    <t>3B18</t>
  </si>
  <si>
    <t>3BI</t>
  </si>
  <si>
    <t>3B19</t>
  </si>
  <si>
    <t>3BJ</t>
  </si>
  <si>
    <t>3B2</t>
  </si>
  <si>
    <t>3B20</t>
  </si>
  <si>
    <t>3BK</t>
  </si>
  <si>
    <t>3B21</t>
  </si>
  <si>
    <t>3BL</t>
  </si>
  <si>
    <t>3B22</t>
  </si>
  <si>
    <t>3BM</t>
  </si>
  <si>
    <t>3B3</t>
  </si>
  <si>
    <t>3B4</t>
  </si>
  <si>
    <t>3B5</t>
  </si>
  <si>
    <t>3B6</t>
  </si>
  <si>
    <t>3C1</t>
  </si>
  <si>
    <t>3C2</t>
  </si>
  <si>
    <t>3C3</t>
  </si>
  <si>
    <t>3C4</t>
  </si>
  <si>
    <t>3C5</t>
  </si>
  <si>
    <t>3C6</t>
  </si>
  <si>
    <t>3C7</t>
  </si>
  <si>
    <t>3C8</t>
  </si>
  <si>
    <t>3C9</t>
  </si>
  <si>
    <t>4A1</t>
  </si>
  <si>
    <t>4A2</t>
  </si>
  <si>
    <t>4A3</t>
  </si>
  <si>
    <t>4A4</t>
  </si>
  <si>
    <t>4A5</t>
  </si>
  <si>
    <t>4A6</t>
  </si>
  <si>
    <t>4B2</t>
  </si>
  <si>
    <t>4B3</t>
  </si>
  <si>
    <t>4C1</t>
  </si>
  <si>
    <t>4D1</t>
  </si>
  <si>
    <t>4E1</t>
  </si>
  <si>
    <t>4E2</t>
  </si>
  <si>
    <t>5C1</t>
  </si>
  <si>
    <t>5C2</t>
  </si>
  <si>
    <t>5C3</t>
  </si>
  <si>
    <t>5C4</t>
  </si>
  <si>
    <t>5C5</t>
  </si>
  <si>
    <t>5C6</t>
  </si>
  <si>
    <t>5C7</t>
  </si>
  <si>
    <t>5C8</t>
  </si>
  <si>
    <t>5C9</t>
  </si>
  <si>
    <t>5D1</t>
  </si>
  <si>
    <t>5D10</t>
  </si>
  <si>
    <t>5DA</t>
  </si>
  <si>
    <t>5D2</t>
  </si>
  <si>
    <t>5D3</t>
  </si>
  <si>
    <t>5D4</t>
  </si>
  <si>
    <t>5D5</t>
  </si>
  <si>
    <t>5D6</t>
  </si>
  <si>
    <t>5D7</t>
  </si>
  <si>
    <t>5D8</t>
  </si>
  <si>
    <t>5D9</t>
  </si>
  <si>
    <t>6A1</t>
  </si>
  <si>
    <t>6A2</t>
  </si>
  <si>
    <t>6C1</t>
  </si>
  <si>
    <t>6C2</t>
  </si>
  <si>
    <t>6C3</t>
  </si>
  <si>
    <t>6C4</t>
  </si>
  <si>
    <t>6C5</t>
  </si>
  <si>
    <t>6C6</t>
  </si>
  <si>
    <t>6C7</t>
  </si>
  <si>
    <t>6C8</t>
  </si>
  <si>
    <t>7B1</t>
  </si>
  <si>
    <t>7B2</t>
  </si>
  <si>
    <t>7B5</t>
  </si>
  <si>
    <t>7B6</t>
  </si>
  <si>
    <t>7C6</t>
  </si>
  <si>
    <t>7C7</t>
  </si>
  <si>
    <t>7C8</t>
  </si>
  <si>
    <t>ACLPAY</t>
  </si>
  <si>
    <t>BENREP</t>
  </si>
  <si>
    <t>BNE</t>
  </si>
  <si>
    <t>CREADV</t>
  </si>
  <si>
    <t>CRA</t>
  </si>
  <si>
    <t>CREMAS</t>
  </si>
  <si>
    <t>CRM</t>
  </si>
  <si>
    <t>DEBADV</t>
  </si>
  <si>
    <t>DBA</t>
  </si>
  <si>
    <t>DEBMAS</t>
  </si>
  <si>
    <t>PTI</t>
  </si>
  <si>
    <t>DELINS</t>
  </si>
  <si>
    <t>DELORD</t>
  </si>
  <si>
    <t>DIRDEB</t>
  </si>
  <si>
    <t>DRD</t>
  </si>
  <si>
    <t>EXPINV</t>
  </si>
  <si>
    <t>FINSTA</t>
  </si>
  <si>
    <t>FIN</t>
  </si>
  <si>
    <t>GSVERF</t>
  </si>
  <si>
    <t>IMPINV</t>
  </si>
  <si>
    <t>LOCKBX</t>
  </si>
  <si>
    <t>MBGMCR</t>
  </si>
  <si>
    <t>PAYEXT</t>
  </si>
  <si>
    <t>PROACT</t>
  </si>
  <si>
    <t>QUOTES</t>
  </si>
  <si>
    <t>QUO</t>
  </si>
  <si>
    <t>REMADV</t>
  </si>
  <si>
    <t>RMA</t>
  </si>
  <si>
    <t>REQOTE</t>
  </si>
  <si>
    <t>RQQ</t>
  </si>
  <si>
    <t>SDPICK</t>
  </si>
  <si>
    <t>SHPADV</t>
  </si>
  <si>
    <t>SHPCON</t>
  </si>
  <si>
    <t>SHPMNT</t>
  </si>
  <si>
    <t>SHPORD</t>
  </si>
  <si>
    <t>TXTRAW</t>
  </si>
  <si>
    <t>WHSCON</t>
  </si>
  <si>
    <t>WHSORD</t>
  </si>
  <si>
    <t>WMMBXY</t>
  </si>
  <si>
    <t>WMTORD</t>
  </si>
  <si>
    <t>CDM-SI</t>
  </si>
  <si>
    <t>CUSTOMER</t>
  </si>
  <si>
    <t>1) Added many Rosettanet and SAP IDOC message types.
2) Changed the map naming tables to have an ITX-specific message type and an SI-specific message type for both source and destination. In the SI-specific message type, enter the values as normal. In the ITX-specific message type, enter a value that converts to a 3-character message type abbreviation. See the table in columns T and U in the worksheet "DropDown - DO NOT EDIT".  If an exact match does not exist, select an input value that will give the closest match for the purpose. For example: a message type called ConfirmationStatus does not exist in the table. Select either "Confirmation" or "Status" as the value to enter in the ITX-specific message type field, based on whether the message is more like a confirmation or a status message.
3) Fixed three lookup values in the message type lookup table that would fail in lookups due to a trailing space character. The values are CDM-SI, CUSTOMER, and SKU.</t>
  </si>
  <si>
    <t>Master Data - ITX Map Tables</t>
  </si>
  <si>
    <t>When entering values for message types for ITX maps, two fields are used for both source and destination message type.
- The field ending in "ITX" must be a value that gives a valid conversion using the table in column U:T in the "DropDown - DO NOT EDIT" worksheet. If the message type does not exist in the table, pick a value based on the message type and its purpose from the conversion table that will give a valid lookup.
- The field ending in "SI" should just be the message type.</t>
  </si>
  <si>
    <t>GEN-CNF</t>
  </si>
  <si>
    <t>GEN-INV</t>
  </si>
  <si>
    <t>INV</t>
  </si>
  <si>
    <t>GEN-ORD</t>
  </si>
  <si>
    <t>Three GEN-XXX message type conversions (CNF/BookingConfirmation, INV/Invoice, ORD/Order) were missing in the message type conversion table. Now added.
Long profile names are now handled for FTP Client and SFTP Client worksheets. DSV_/DSV_SSH_ is kept, as is the port number, message type (if needed) and postfix. Username and hostname are concatenated and used from right to left until the complete profile length is a maximum of 64 characters (limit set by the Lightwell database).</t>
  </si>
  <si>
    <r>
      <t xml:space="preserve">Used in map names etc. Do not include "EDIIED".
For CargoWrite, must use CargoWrite Client ID. If it is for a generic setup, leave out the country code.
</t>
    </r>
    <r>
      <rPr>
        <b/>
        <sz val="11"/>
        <color rgb="FFFF0000"/>
        <rFont val="Calibri"/>
        <family val="2"/>
        <scheme val="minor"/>
      </rPr>
      <t>NOTE - For ITX map names, the partner code can be a maximum of 7 characters. If more than 7 characters are provided, all characters after the leftmost 7 will be dropped.</t>
    </r>
  </si>
  <si>
    <t>SRNADJ</t>
  </si>
  <si>
    <t>SNA</t>
  </si>
  <si>
    <t>1) Added SRNADJ -&gt; SNA to the message type conversion table.
2) The fields the developer must fill in in the Identities worksheet have been colored the usual green.
3) Fields for SSH keys for when DSV is the client has been removed from the "SSH Keys" worksheet. The worksheet has been renamed to "SFTP Server SSH Keys". The SSH key information for when DSV is the client is now only a part of the "SFTP Client" worksheet.
4) Udated the note by the Partner Code field in the Master Data worksheet to say that for generic CargoWrite flows, the country code can be removed.
5) The AS2 org fields for AS2 relationships in the AS2 worksheet have been updated to the current value as per the SDG v3.25: DSVAS2_&lt;DEV|TEST|QA|PROD&gt;. So the AS2 org for DSV in TEST will be: DSVAS2_TEST.</t>
  </si>
  <si>
    <t>AUTHORIZATION</t>
  </si>
  <si>
    <t>AUT</t>
  </si>
  <si>
    <t>CARINS</t>
  </si>
  <si>
    <t>CAR</t>
  </si>
  <si>
    <t>PARTY</t>
  </si>
  <si>
    <t>PTY</t>
  </si>
  <si>
    <t>Three message type conversions.
- AUTHORIZATION/AUT
- CARINS/CAR
- PARTY/PTY</t>
  </si>
  <si>
    <t>REFERENCE</t>
  </si>
  <si>
    <t>REF</t>
  </si>
  <si>
    <t>Set DSV_BP_COLLECT_AND_DELETE_MAILBOX_bp as default, change "Division Solutions" to "Division Contract Logistics"</t>
  </si>
  <si>
    <t>Division Contract Logistics</t>
  </si>
  <si>
    <t>Added message type IFTMAN/AMN</t>
  </si>
  <si>
    <t>Sachin Kumar</t>
  </si>
  <si>
    <t>Added Message type PRODEX/PRE</t>
  </si>
  <si>
    <t>PRODEX</t>
  </si>
  <si>
    <t>PRE</t>
  </si>
  <si>
    <t>IFTMAN</t>
  </si>
  <si>
    <t>AMN</t>
  </si>
  <si>
    <t>MyMistral</t>
  </si>
  <si>
    <t>MM</t>
  </si>
  <si>
    <t>Y</t>
  </si>
  <si>
    <t>INFOR (Order Management)</t>
  </si>
  <si>
    <t>INO</t>
  </si>
  <si>
    <t>1) Added one message type conversion: REFERENCE/REF.
2) Updated to comply with DSV EI EDI Guideline for naming conventions v18.4. The naming convention for SI DOX maps was the only one of the four (SI DOX, ITX DOX, SI FNX, ITX FNX) to still require a message type. Now all four use the functionality field.
3) Updated the SFTP Client profile name to truncate from the right instead of from the left when the total length is more than 64 characters.
4) Added system abbreviations for two systems:
- MyMistral - MM/Y
- INFOR (Order Management) - INO/M</t>
  </si>
  <si>
    <t>Platform</t>
  </si>
  <si>
    <t>Used to determine platform-specific differences between Corporate EDI and EBIP.</t>
  </si>
  <si>
    <t>Corporate EDI</t>
  </si>
  <si>
    <t>EBIP</t>
  </si>
  <si>
    <t>To make sure the correct adapter is selected for SFTP Client setups, two new fields have been added.
- In Master data worksheet, the "Platform" field has been added. Select "Corporate EDI" or "EBIP".
- In SFTP Client worksheet, a field has been added below the optional message type field. It checks if the Platform field has been filled out. If it has been filled out, it asks if the SFTP server is inside the DSV network.</t>
  </si>
  <si>
    <t>REQUEST</t>
  </si>
  <si>
    <t>REQ</t>
  </si>
  <si>
    <t>1) Added one message type conversion: REQUEST/REQ for when the flow must create an API request.
2) Fixed a bug where selecting system code "Z" would make it appear in map names for the SI map naming convention as "Z" as well. If the value Z is selected, it must be treated as if the system field is blank.</t>
  </si>
  <si>
    <t>nGXD</t>
  </si>
  <si>
    <t>GXD</t>
  </si>
  <si>
    <t>Added one system abbreviation:
nGXD - GXD/N</t>
  </si>
  <si>
    <t>Updated a few range names that had been missed in previous versions.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</si>
</sst>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Red]0"/>
    <numFmt numFmtId="165" formatCode="yyyy/mm/dd;@"/>
  </numFmts>
  <fonts count="24" x14ac:knownFonts="1">
    <font>
      <sz val="11"/>
      <color theme="1"/>
      <name val="Calibri"/>
      <family val="2"/>
      <scheme val="minor"/>
    </font>
    <font>
      <b/>
      <sz val="11"/>
      <color theme="1"/>
      <name val="Calibri"/>
      <family val="2"/>
      <scheme val="minor"/>
    </font>
    <font>
      <i/>
      <sz val="11"/>
      <color rgb="FF7F7F7F"/>
      <name val="Calibri"/>
      <family val="2"/>
      <scheme val="minor"/>
    </font>
    <font>
      <u/>
      <sz val="11"/>
      <color theme="10"/>
      <name val="Calibri"/>
      <family val="2"/>
      <scheme val="minor"/>
    </font>
    <font>
      <i/>
      <sz val="11"/>
      <color theme="1"/>
      <name val="Calibri"/>
      <family val="2"/>
      <scheme val="minor"/>
    </font>
    <font>
      <sz val="11"/>
      <color theme="1"/>
      <name val="Calibri"/>
      <family val="2"/>
      <scheme val="minor"/>
    </font>
    <font>
      <sz val="11"/>
      <color rgb="FF006100"/>
      <name val="Calibri"/>
      <family val="2"/>
      <scheme val="minor"/>
    </font>
    <font>
      <sz val="11"/>
      <color theme="1"/>
      <name val="Arial"/>
      <family val="2"/>
    </font>
    <font>
      <i/>
      <sz val="11"/>
      <color theme="1"/>
      <name val="Arial"/>
      <family val="2"/>
    </font>
    <font>
      <sz val="11"/>
      <color rgb="FF9C6500"/>
      <name val="Calibri"/>
      <family val="2"/>
      <scheme val="minor"/>
    </font>
    <font>
      <b/>
      <sz val="11"/>
      <color theme="0"/>
      <name val="Calibri"/>
      <family val="2"/>
      <scheme val="minor"/>
    </font>
    <font>
      <b/>
      <sz val="11"/>
      <color rgb="FF006100"/>
      <name val="Calibri"/>
      <family val="2"/>
      <scheme val="minor"/>
    </font>
    <font>
      <i/>
      <sz val="11"/>
      <color rgb="FF006100"/>
      <name val="Calibri"/>
      <family val="2"/>
      <scheme val="minor"/>
    </font>
    <font>
      <b/>
      <sz val="11"/>
      <color rgb="FF3F3F3F"/>
      <name val="Calibri"/>
      <family val="2"/>
      <scheme val="minor"/>
    </font>
    <font>
      <sz val="11"/>
      <color theme="0"/>
      <name val="Calibri"/>
      <family val="2"/>
      <scheme val="minor"/>
    </font>
    <font>
      <b/>
      <sz val="11"/>
      <color rgb="FFFF0000"/>
      <name val="Calibri"/>
      <family val="2"/>
      <scheme val="minor"/>
    </font>
    <font>
      <i/>
      <sz val="11"/>
      <color rgb="FF9C6500"/>
      <name val="Calibri"/>
      <family val="2"/>
      <scheme val="minor"/>
    </font>
    <font>
      <sz val="11"/>
      <color rgb="FF000000"/>
      <name val="Calibri"/>
      <family val="2"/>
    </font>
    <font>
      <b/>
      <i/>
      <sz val="11"/>
      <color theme="1"/>
      <name val="Calibri"/>
      <family val="2"/>
      <scheme val="minor"/>
    </font>
    <font>
      <sz val="11"/>
      <color rgb="FF202122"/>
      <name val="Calibri"/>
      <family val="2"/>
      <scheme val="minor"/>
    </font>
    <font>
      <sz val="8"/>
      <name val="Calibri"/>
      <family val="2"/>
      <scheme val="minor"/>
    </font>
    <font>
      <i/>
      <sz val="11"/>
      <color theme="2" tint="-0.499984740745262"/>
      <name val="Calibri"/>
      <family val="2"/>
      <scheme val="minor"/>
    </font>
    <font>
      <sz val="11"/>
      <color rgb="FF172B4D"/>
      <name val="Calibri"/>
      <family val="2"/>
      <scheme val="minor"/>
    </font>
    <font>
      <sz val="11"/>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C6EFCE"/>
      </patternFill>
    </fill>
    <fill>
      <patternFill patternType="solid">
        <fgColor rgb="FFFFFFCC"/>
      </patternFill>
    </fill>
    <fill>
      <patternFill patternType="solid">
        <fgColor theme="4" tint="0.59999389629810485"/>
        <bgColor indexed="64"/>
      </patternFill>
    </fill>
    <fill>
      <patternFill patternType="solid">
        <fgColor rgb="FFFFEB9C"/>
      </patternFill>
    </fill>
    <fill>
      <patternFill patternType="solid">
        <fgColor rgb="FFA5A5A5"/>
      </patternFill>
    </fill>
    <fill>
      <patternFill patternType="solid">
        <fgColor rgb="FFF2F2F2"/>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patternFill>
    </fill>
    <fill>
      <patternFill patternType="solid">
        <fgColor theme="8" tint="0.39997558519241921"/>
        <bgColor indexed="64"/>
      </patternFill>
    </fill>
    <fill>
      <patternFill patternType="solid">
        <fgColor theme="7" tint="-0.24994659260841701"/>
        <bgColor indexed="64"/>
      </patternFill>
    </fill>
    <fill>
      <patternFill patternType="solid">
        <fgColor theme="9" tint="0.599963377788628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diagonal/>
    </border>
    <border>
      <left/>
      <right style="thin">
        <color indexed="64"/>
      </right>
      <top style="thin">
        <color indexed="64"/>
      </top>
      <bottom style="thin">
        <color indexed="64"/>
      </bottom>
      <diagonal/>
    </border>
    <border>
      <left style="double">
        <color rgb="FF3F3F3F"/>
      </left>
      <right/>
      <top style="double">
        <color rgb="FF3F3F3F"/>
      </top>
      <bottom style="double">
        <color rgb="FF3F3F3F"/>
      </bottom>
      <diagonal/>
    </border>
    <border>
      <left/>
      <right/>
      <top style="double">
        <color rgb="FF3F3F3F"/>
      </top>
      <bottom style="double">
        <color rgb="FF3F3F3F"/>
      </bottom>
      <diagonal/>
    </border>
    <border>
      <left/>
      <right style="double">
        <color rgb="FF3F3F3F"/>
      </right>
      <top style="double">
        <color rgb="FF3F3F3F"/>
      </top>
      <bottom style="double">
        <color rgb="FF3F3F3F"/>
      </bottom>
      <diagonal/>
    </border>
    <border>
      <left style="thin">
        <color indexed="64"/>
      </left>
      <right/>
      <top style="thin">
        <color indexed="64"/>
      </top>
      <bottom style="thin">
        <color indexed="64"/>
      </bottom>
      <diagonal/>
    </border>
    <border>
      <left style="double">
        <color rgb="FF3F3F3F"/>
      </left>
      <right style="double">
        <color rgb="FF3F3F3F"/>
      </right>
      <top style="double">
        <color rgb="FF3F3F3F"/>
      </top>
      <bottom/>
      <diagonal/>
    </border>
    <border>
      <left style="medium">
        <color rgb="FFC1C7D0"/>
      </left>
      <right style="medium">
        <color rgb="FFC1C7D0"/>
      </right>
      <top style="medium">
        <color rgb="FFC1C7D0"/>
      </top>
      <bottom style="medium">
        <color rgb="FFC1C7D0"/>
      </bottom>
      <diagonal/>
    </border>
    <border>
      <left style="medium">
        <color rgb="FFA2A9B1"/>
      </left>
      <right style="medium">
        <color rgb="FFA2A9B1"/>
      </right>
      <top style="medium">
        <color rgb="FFA2A9B1"/>
      </top>
      <bottom style="medium">
        <color rgb="FFA2A9B1"/>
      </bottom>
      <diagonal/>
    </border>
    <border>
      <left style="thin">
        <color indexed="64"/>
      </left>
      <right/>
      <top style="thin">
        <color indexed="64"/>
      </top>
      <bottom/>
      <diagonal/>
    </border>
    <border>
      <left style="thin">
        <color indexed="64"/>
      </left>
      <right/>
      <top/>
      <bottom/>
      <diagonal/>
    </border>
  </borders>
  <cellStyleXfs count="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6" fillId="13" borderId="0" applyNumberFormat="0" applyBorder="0" applyAlignment="0" applyProtection="0"/>
    <xf numFmtId="0" fontId="5" fillId="14" borderId="2" applyNumberFormat="0" applyFont="0" applyAlignment="0" applyProtection="0"/>
    <xf numFmtId="0" fontId="9" fillId="16" borderId="0" applyNumberFormat="0" applyBorder="0" applyAlignment="0" applyProtection="0"/>
    <xf numFmtId="0" fontId="10" fillId="17" borderId="6" applyNumberFormat="0" applyAlignment="0" applyProtection="0"/>
    <xf numFmtId="0" fontId="13" fillId="18" borderId="7" applyNumberFormat="0" applyAlignment="0" applyProtection="0"/>
    <xf numFmtId="0" fontId="14" fillId="21" borderId="0" applyNumberFormat="0" applyBorder="0" applyAlignment="0" applyProtection="0"/>
  </cellStyleXfs>
  <cellXfs count="207">
    <xf numFmtId="0" fontId="0" fillId="0" borderId="0" xfId="0"/>
    <xf numFmtId="0" fontId="1" fillId="3" borderId="0" xfId="0" applyFont="1" applyFill="1" applyAlignment="1">
      <alignment horizontal="left" vertical="top"/>
    </xf>
    <xf numFmtId="0" fontId="1" fillId="4" borderId="0" xfId="0" applyFont="1" applyFill="1" applyAlignment="1">
      <alignment horizontal="left" vertical="top"/>
    </xf>
    <xf numFmtId="0" fontId="1" fillId="5" borderId="0" xfId="0" applyFont="1" applyFill="1" applyAlignment="1">
      <alignment horizontal="left" vertical="top"/>
    </xf>
    <xf numFmtId="0" fontId="1" fillId="6"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xf numFmtId="0" fontId="0" fillId="0" borderId="0" xfId="0" applyAlignment="1">
      <alignment horizontal="left" vertical="top"/>
    </xf>
    <xf numFmtId="0" fontId="0" fillId="3" borderId="0" xfId="0" applyFill="1" applyAlignment="1">
      <alignment horizontal="left" vertical="top"/>
    </xf>
    <xf numFmtId="0" fontId="0" fillId="4" borderId="0" xfId="0" applyFill="1" applyAlignment="1">
      <alignment horizontal="left" vertical="top"/>
    </xf>
    <xf numFmtId="0" fontId="0" fillId="5" borderId="0" xfId="0" applyFill="1" applyAlignment="1">
      <alignment horizontal="left" vertical="top"/>
    </xf>
    <xf numFmtId="0" fontId="0" fillId="6" borderId="0" xfId="0" applyFill="1" applyAlignment="1">
      <alignment horizontal="left" vertical="top"/>
    </xf>
    <xf numFmtId="0" fontId="0" fillId="7" borderId="0" xfId="0" applyFill="1" applyAlignment="1">
      <alignment horizontal="left" vertical="top"/>
    </xf>
    <xf numFmtId="0" fontId="0" fillId="8" borderId="0" xfId="0" applyFill="1" applyAlignment="1">
      <alignment horizontal="left" vertical="top"/>
    </xf>
    <xf numFmtId="0" fontId="0" fillId="9" borderId="0" xfId="0" applyFill="1" applyAlignment="1">
      <alignment horizontal="left" vertical="top"/>
    </xf>
    <xf numFmtId="0" fontId="1" fillId="0" borderId="0" xfId="0" applyFont="1"/>
    <xf numFmtId="0" fontId="0" fillId="2" borderId="0" xfId="0" applyFill="1" applyAlignment="1">
      <alignment horizontal="left" vertical="top"/>
    </xf>
    <xf numFmtId="0" fontId="0" fillId="10" borderId="0" xfId="0" applyFill="1" applyAlignment="1">
      <alignment horizontal="left" vertical="top"/>
    </xf>
    <xf numFmtId="0" fontId="1" fillId="2" borderId="0" xfId="0" applyFont="1" applyFill="1" applyAlignment="1">
      <alignment horizontal="left" vertical="top"/>
    </xf>
    <xf numFmtId="0" fontId="1" fillId="10" borderId="0" xfId="0" applyFont="1" applyFill="1" applyAlignment="1">
      <alignment horizontal="left" vertical="top"/>
    </xf>
    <xf numFmtId="0" fontId="0" fillId="11" borderId="0" xfId="0" applyFill="1"/>
    <xf numFmtId="0" fontId="2" fillId="0" borderId="0" xfId="1" applyFill="1"/>
    <xf numFmtId="0" fontId="1" fillId="0" borderId="1" xfId="0" applyFont="1" applyBorder="1"/>
    <xf numFmtId="0" fontId="0" fillId="0" borderId="1" xfId="0" applyBorder="1"/>
    <xf numFmtId="0" fontId="0" fillId="0" borderId="0" xfId="0" applyAlignment="1">
      <alignment wrapText="1"/>
    </xf>
    <xf numFmtId="0" fontId="0" fillId="0" borderId="1" xfId="0" applyBorder="1" applyAlignment="1">
      <alignment wrapText="1"/>
    </xf>
    <xf numFmtId="0" fontId="1" fillId="0" borderId="0" xfId="0" applyFont="1" applyAlignment="1">
      <alignment horizontal="left" vertical="top"/>
    </xf>
    <xf numFmtId="0" fontId="1" fillId="0" borderId="1" xfId="0" applyFon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4" fillId="0" borderId="0" xfId="0" applyFont="1" applyAlignment="1">
      <alignment horizontal="left" vertical="top"/>
    </xf>
    <xf numFmtId="0" fontId="0" fillId="0" borderId="0" xfId="0" applyAlignment="1">
      <alignment horizontal="left" vertical="top" wrapText="1"/>
    </xf>
    <xf numFmtId="0" fontId="1" fillId="0" borderId="1" xfId="0" applyFont="1" applyBorder="1" applyAlignment="1">
      <alignment horizontal="left" vertical="top" wrapText="1"/>
    </xf>
    <xf numFmtId="0" fontId="4" fillId="0" borderId="1" xfId="0" applyFont="1" applyBorder="1" applyAlignment="1">
      <alignment horizontal="left" vertical="top" wrapText="1"/>
    </xf>
    <xf numFmtId="0" fontId="1" fillId="0" borderId="1" xfId="0" applyFont="1" applyBorder="1" applyAlignment="1">
      <alignment wrapText="1"/>
    </xf>
    <xf numFmtId="0" fontId="1" fillId="12" borderId="0" xfId="0" applyFont="1" applyFill="1" applyAlignment="1">
      <alignment horizontal="left" vertical="top"/>
    </xf>
    <xf numFmtId="0" fontId="0" fillId="12" borderId="0" xfId="0" applyFill="1" applyAlignment="1">
      <alignment horizontal="left" vertical="top" wrapText="1"/>
    </xf>
    <xf numFmtId="0" fontId="3" fillId="0" borderId="0" xfId="2" applyAlignment="1">
      <alignment horizontal="left" vertical="top"/>
    </xf>
    <xf numFmtId="164" fontId="1" fillId="0" borderId="1" xfId="0" applyNumberFormat="1" applyFont="1" applyBorder="1"/>
    <xf numFmtId="164" fontId="4" fillId="0" borderId="1" xfId="0" applyNumberFormat="1" applyFont="1" applyBorder="1"/>
    <xf numFmtId="164" fontId="0" fillId="0" borderId="1" xfId="0" applyNumberFormat="1" applyBorder="1"/>
    <xf numFmtId="164" fontId="0" fillId="0" borderId="0" xfId="0" applyNumberFormat="1"/>
    <xf numFmtId="0" fontId="4" fillId="0" borderId="1" xfId="0" applyFont="1" applyBorder="1"/>
    <xf numFmtId="0" fontId="4" fillId="0" borderId="1" xfId="0" applyFont="1" applyBorder="1" applyAlignment="1">
      <alignment horizontal="left" vertical="top"/>
    </xf>
    <xf numFmtId="0" fontId="1" fillId="14" borderId="2" xfId="4" applyFont="1" applyAlignment="1">
      <alignment horizontal="left" vertical="top"/>
    </xf>
    <xf numFmtId="0" fontId="6" fillId="13" borderId="1" xfId="3" applyBorder="1"/>
    <xf numFmtId="0" fontId="1" fillId="0" borderId="1" xfId="0" applyFont="1" applyBorder="1" applyAlignment="1">
      <alignment horizontal="center"/>
    </xf>
    <xf numFmtId="0" fontId="1" fillId="14" borderId="2" xfId="4" applyFont="1"/>
    <xf numFmtId="0" fontId="0" fillId="0" borderId="0" xfId="0" applyAlignment="1">
      <alignment horizontal="center" vertical="center"/>
    </xf>
    <xf numFmtId="0" fontId="0" fillId="0" borderId="0" xfId="0" applyAlignment="1">
      <alignment horizontal="left" vertical="center"/>
    </xf>
    <xf numFmtId="0" fontId="1" fillId="15" borderId="0" xfId="0" applyFont="1" applyFill="1" applyAlignment="1">
      <alignment horizontal="left" vertical="top"/>
    </xf>
    <xf numFmtId="0" fontId="0" fillId="15" borderId="0" xfId="0" applyFill="1" applyAlignment="1">
      <alignment horizontal="left" vertical="top"/>
    </xf>
    <xf numFmtId="0" fontId="7" fillId="0" borderId="0" xfId="0" applyFont="1"/>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9" fillId="16" borderId="1" xfId="5" applyBorder="1" applyAlignment="1">
      <alignment horizontal="left" vertical="top"/>
    </xf>
    <xf numFmtId="0" fontId="6" fillId="13" borderId="1" xfId="3" applyBorder="1" applyAlignment="1">
      <alignment horizontal="left" vertical="top" wrapText="1"/>
    </xf>
    <xf numFmtId="0" fontId="6" fillId="13" borderId="1" xfId="3" applyBorder="1" applyAlignment="1">
      <alignment horizontal="left" vertical="top"/>
    </xf>
    <xf numFmtId="0" fontId="9" fillId="16" borderId="1" xfId="5" applyBorder="1"/>
    <xf numFmtId="0" fontId="1" fillId="0" borderId="1" xfId="0" applyFont="1" applyBorder="1" applyAlignment="1">
      <alignment horizontal="center" vertical="center"/>
    </xf>
    <xf numFmtId="0" fontId="10" fillId="17" borderId="6" xfId="6" applyAlignment="1">
      <alignment horizontal="center" vertical="center"/>
    </xf>
    <xf numFmtId="0" fontId="10" fillId="17" borderId="6" xfId="6" applyAlignment="1">
      <alignment horizontal="left" vertical="center"/>
    </xf>
    <xf numFmtId="0" fontId="10" fillId="17" borderId="6" xfId="6" applyAlignment="1">
      <alignment horizontal="left" vertical="top" wrapText="1"/>
    </xf>
    <xf numFmtId="0" fontId="10" fillId="17" borderId="6" xfId="6" applyAlignment="1">
      <alignment horizontal="left" vertical="top"/>
    </xf>
    <xf numFmtId="0" fontId="10" fillId="17" borderId="6" xfId="6"/>
    <xf numFmtId="0" fontId="10" fillId="17" borderId="6" xfId="6" applyAlignment="1">
      <alignment wrapText="1"/>
    </xf>
    <xf numFmtId="0" fontId="11" fillId="13" borderId="1" xfId="3" applyFont="1" applyBorder="1" applyAlignment="1">
      <alignment horizontal="center" vertical="center"/>
    </xf>
    <xf numFmtId="0" fontId="1" fillId="0" borderId="0" xfId="0" applyFont="1" applyAlignment="1">
      <alignment wrapText="1"/>
    </xf>
    <xf numFmtId="0" fontId="4" fillId="0" borderId="0" xfId="0" applyFont="1" applyAlignment="1">
      <alignment horizontal="left" vertical="top" wrapText="1"/>
    </xf>
    <xf numFmtId="0" fontId="4" fillId="0" borderId="1" xfId="0" applyFont="1" applyBorder="1" applyAlignment="1">
      <alignment wrapText="1"/>
    </xf>
    <xf numFmtId="0" fontId="1" fillId="0" borderId="1" xfId="0" applyFont="1" applyBorder="1" applyAlignment="1">
      <alignment horizontal="left" vertical="center"/>
    </xf>
    <xf numFmtId="0" fontId="6" fillId="13" borderId="1" xfId="3" applyBorder="1" applyAlignment="1">
      <alignment horizontal="left" vertical="center"/>
    </xf>
    <xf numFmtId="0" fontId="1" fillId="0" borderId="0" xfId="0" applyFont="1" applyAlignment="1">
      <alignment horizontal="left" vertical="center"/>
    </xf>
    <xf numFmtId="0" fontId="1" fillId="14" borderId="1" xfId="4" applyFont="1" applyBorder="1"/>
    <xf numFmtId="0" fontId="13" fillId="18" borderId="1" xfId="7" applyBorder="1" applyAlignment="1">
      <alignment horizontal="left" vertical="top"/>
    </xf>
    <xf numFmtId="0" fontId="13" fillId="18" borderId="1" xfId="7" applyBorder="1" applyAlignment="1">
      <alignment horizontal="left" vertical="top" wrapText="1"/>
    </xf>
    <xf numFmtId="0" fontId="0" fillId="19" borderId="0" xfId="0" applyFill="1" applyAlignment="1">
      <alignment horizontal="left" vertical="top"/>
    </xf>
    <xf numFmtId="0" fontId="1" fillId="14" borderId="1" xfId="4" applyFont="1" applyBorder="1" applyAlignment="1">
      <alignment wrapText="1"/>
    </xf>
    <xf numFmtId="0" fontId="1" fillId="14" borderId="1" xfId="4" applyFont="1" applyBorder="1" applyAlignment="1">
      <alignment horizontal="left" vertical="top"/>
    </xf>
    <xf numFmtId="0" fontId="13" fillId="18" borderId="7" xfId="7"/>
    <xf numFmtId="0" fontId="13" fillId="18" borderId="7" xfId="7" applyAlignment="1">
      <alignment wrapText="1"/>
    </xf>
    <xf numFmtId="0" fontId="6" fillId="13" borderId="1" xfId="3" applyBorder="1" applyAlignment="1">
      <alignment horizontal="center" vertical="center"/>
    </xf>
    <xf numFmtId="0" fontId="1" fillId="14" borderId="2" xfId="4" applyFont="1" applyAlignment="1">
      <alignment wrapText="1"/>
    </xf>
    <xf numFmtId="0" fontId="0" fillId="0" borderId="1" xfId="0" applyBorder="1" applyAlignment="1">
      <alignment horizontal="center" vertical="center" wrapText="1"/>
    </xf>
    <xf numFmtId="0" fontId="6" fillId="13" borderId="1" xfId="3" applyBorder="1" applyAlignment="1">
      <alignment horizontal="center"/>
    </xf>
    <xf numFmtId="0" fontId="1" fillId="14" borderId="8" xfId="4" applyFont="1" applyBorder="1" applyAlignment="1">
      <alignment wrapText="1"/>
    </xf>
    <xf numFmtId="0" fontId="1" fillId="0" borderId="0" xfId="0" applyFont="1" applyAlignment="1">
      <alignment horizontal="center"/>
    </xf>
    <xf numFmtId="0" fontId="13" fillId="18" borderId="7" xfId="7" applyAlignment="1">
      <alignment horizontal="left" vertical="top" wrapText="1"/>
    </xf>
    <xf numFmtId="0" fontId="0" fillId="0" borderId="9" xfId="0" applyBorder="1" applyAlignment="1">
      <alignment horizontal="left" vertical="top" wrapText="1"/>
    </xf>
    <xf numFmtId="0" fontId="6" fillId="13" borderId="1" xfId="3" applyNumberFormat="1" applyBorder="1" applyAlignment="1">
      <alignment horizontal="center" vertical="center"/>
    </xf>
    <xf numFmtId="0" fontId="13" fillId="18" borderId="7" xfId="7" applyNumberFormat="1" applyAlignment="1">
      <alignment horizontal="left" vertical="top" wrapText="1"/>
    </xf>
    <xf numFmtId="0" fontId="1" fillId="14" borderId="3" xfId="4" applyFont="1" applyBorder="1" applyAlignment="1">
      <alignment wrapText="1"/>
    </xf>
    <xf numFmtId="0" fontId="1" fillId="19" borderId="0" xfId="0" applyFont="1" applyFill="1" applyAlignment="1">
      <alignment horizontal="left" vertical="top"/>
    </xf>
    <xf numFmtId="0" fontId="1" fillId="20" borderId="0" xfId="0" applyFont="1" applyFill="1" applyAlignment="1">
      <alignment horizontal="left" vertical="top"/>
    </xf>
    <xf numFmtId="0" fontId="0" fillId="20" borderId="0" xfId="0" applyFill="1"/>
    <xf numFmtId="0" fontId="3" fillId="13" borderId="1" xfId="2" applyFill="1" applyBorder="1" applyAlignment="1">
      <alignment horizontal="center" vertical="center"/>
    </xf>
    <xf numFmtId="0" fontId="0" fillId="0" borderId="0" xfId="0" applyAlignment="1">
      <alignment vertical="top" wrapText="1"/>
    </xf>
    <xf numFmtId="0" fontId="1" fillId="0" borderId="1" xfId="0" applyFont="1" applyBorder="1" applyAlignment="1">
      <alignment vertical="top" wrapText="1"/>
    </xf>
    <xf numFmtId="0" fontId="9" fillId="16" borderId="1" xfId="5" applyBorder="1" applyAlignment="1">
      <alignment horizontal="center" vertical="top" wrapText="1"/>
    </xf>
    <xf numFmtId="0" fontId="13" fillId="18" borderId="7" xfId="7" applyAlignment="1">
      <alignment vertical="top" wrapText="1"/>
    </xf>
    <xf numFmtId="0" fontId="0" fillId="0" borderId="1" xfId="0" applyBorder="1" applyAlignment="1">
      <alignment vertical="top" wrapText="1"/>
    </xf>
    <xf numFmtId="0" fontId="0" fillId="0" borderId="1" xfId="0" applyBorder="1" applyAlignment="1">
      <alignment vertical="top"/>
    </xf>
    <xf numFmtId="0" fontId="1" fillId="0" borderId="1" xfId="0" applyFont="1" applyBorder="1" applyAlignment="1">
      <alignment horizontal="center" vertical="center" wrapText="1"/>
    </xf>
    <xf numFmtId="0" fontId="3" fillId="16" borderId="1" xfId="2" applyFill="1" applyBorder="1" applyAlignment="1">
      <alignment horizontal="center" vertical="top" wrapText="1"/>
    </xf>
    <xf numFmtId="0" fontId="0" fillId="0" borderId="13" xfId="0" applyBorder="1" applyAlignment="1">
      <alignment vertical="top" wrapText="1"/>
    </xf>
    <xf numFmtId="0" fontId="4" fillId="0" borderId="3" xfId="0" applyFont="1" applyBorder="1" applyAlignment="1">
      <alignment horizontal="left" vertical="top" wrapText="1"/>
    </xf>
    <xf numFmtId="0" fontId="0" fillId="0" borderId="5" xfId="0" applyBorder="1" applyAlignment="1">
      <alignment horizontal="left" vertical="top" wrapText="1"/>
    </xf>
    <xf numFmtId="0" fontId="4" fillId="0" borderId="4" xfId="0" applyFont="1" applyBorder="1" applyAlignment="1">
      <alignment horizontal="left" vertical="top" wrapText="1"/>
    </xf>
    <xf numFmtId="0" fontId="15" fillId="8" borderId="0" xfId="0" applyFont="1" applyFill="1" applyAlignment="1">
      <alignment horizontal="left" vertical="top"/>
    </xf>
    <xf numFmtId="0" fontId="0" fillId="8" borderId="0" xfId="0" applyFill="1"/>
    <xf numFmtId="0" fontId="9" fillId="16" borderId="13" xfId="5" applyBorder="1" applyAlignment="1">
      <alignment horizontal="left" vertical="top"/>
    </xf>
    <xf numFmtId="0" fontId="14" fillId="21" borderId="0" xfId="8" applyAlignment="1">
      <alignment wrapText="1"/>
    </xf>
    <xf numFmtId="0" fontId="14" fillId="21" borderId="0" xfId="8"/>
    <xf numFmtId="0" fontId="14" fillId="21" borderId="0" xfId="8" applyAlignment="1">
      <alignment vertical="top" wrapText="1"/>
    </xf>
    <xf numFmtId="0" fontId="14" fillId="21" borderId="0" xfId="8" applyAlignment="1">
      <alignment horizontal="left" vertical="top" wrapText="1"/>
    </xf>
    <xf numFmtId="0" fontId="14" fillId="21" borderId="0" xfId="8" applyNumberFormat="1" applyAlignment="1">
      <alignment horizontal="left" vertical="top" wrapText="1"/>
    </xf>
    <xf numFmtId="0" fontId="14" fillId="21" borderId="0" xfId="8" applyBorder="1"/>
    <xf numFmtId="1" fontId="0" fillId="0" borderId="1" xfId="0" applyNumberFormat="1" applyBorder="1" applyAlignment="1">
      <alignment horizontal="center" vertical="center"/>
    </xf>
    <xf numFmtId="1" fontId="0" fillId="0" borderId="0" xfId="0" applyNumberFormat="1" applyAlignment="1">
      <alignment horizontal="center" vertical="center"/>
    </xf>
    <xf numFmtId="49" fontId="1" fillId="0" borderId="1" xfId="0" applyNumberFormat="1" applyFont="1" applyBorder="1" applyAlignment="1">
      <alignment horizontal="left" vertical="top"/>
    </xf>
    <xf numFmtId="49" fontId="6" fillId="13" borderId="1" xfId="3" applyNumberFormat="1" applyBorder="1" applyAlignment="1">
      <alignment horizontal="left" vertical="top"/>
    </xf>
    <xf numFmtId="49" fontId="0" fillId="0" borderId="0" xfId="0" applyNumberFormat="1" applyAlignment="1">
      <alignment horizontal="left" vertical="top"/>
    </xf>
    <xf numFmtId="49" fontId="10" fillId="17" borderId="6" xfId="6" applyNumberFormat="1" applyAlignment="1">
      <alignment horizontal="left" vertical="top"/>
    </xf>
    <xf numFmtId="1" fontId="13" fillId="18" borderId="1" xfId="7" applyNumberFormat="1" applyBorder="1" applyAlignment="1">
      <alignment horizontal="center" vertical="center"/>
    </xf>
    <xf numFmtId="0" fontId="13" fillId="18" borderId="1" xfId="7" applyBorder="1" applyAlignment="1">
      <alignment horizontal="center" vertical="center"/>
    </xf>
    <xf numFmtId="0" fontId="1" fillId="0" borderId="0" xfId="0" applyFont="1" applyAlignment="1">
      <alignment horizontal="center" vertical="center"/>
    </xf>
    <xf numFmtId="49" fontId="9" fillId="16" borderId="1" xfId="5" applyNumberFormat="1" applyBorder="1" applyAlignment="1">
      <alignment horizontal="center" vertical="center"/>
    </xf>
    <xf numFmtId="0" fontId="9" fillId="16" borderId="1" xfId="5" applyNumberFormat="1" applyBorder="1" applyAlignment="1">
      <alignment horizontal="center" vertical="center"/>
    </xf>
    <xf numFmtId="0" fontId="1" fillId="14" borderId="1" xfId="4" applyFont="1" applyBorder="1" applyAlignment="1"/>
    <xf numFmtId="0" fontId="6" fillId="13" borderId="1" xfId="3" applyBorder="1" applyAlignment="1"/>
    <xf numFmtId="0" fontId="1" fillId="0" borderId="1" xfId="0" applyFont="1" applyBorder="1" applyAlignment="1">
      <alignment vertical="top"/>
    </xf>
    <xf numFmtId="0" fontId="9" fillId="16" borderId="1" xfId="5" applyBorder="1" applyAlignment="1"/>
    <xf numFmtId="0" fontId="12" fillId="13" borderId="1" xfId="3" applyFont="1" applyBorder="1" applyAlignment="1"/>
    <xf numFmtId="0" fontId="16" fillId="16" borderId="1" xfId="5" applyFont="1" applyBorder="1" applyAlignment="1"/>
    <xf numFmtId="0" fontId="10" fillId="17" borderId="6" xfId="6" applyAlignment="1"/>
    <xf numFmtId="0" fontId="3" fillId="13" borderId="1" xfId="2" applyFill="1" applyBorder="1" applyAlignment="1"/>
    <xf numFmtId="0" fontId="3" fillId="16" borderId="1" xfId="2" applyFill="1" applyBorder="1" applyAlignment="1"/>
    <xf numFmtId="0" fontId="12" fillId="13" borderId="0" xfId="3" applyFont="1" applyAlignment="1" applyProtection="1">
      <alignment horizontal="left" vertical="top"/>
      <protection locked="0"/>
    </xf>
    <xf numFmtId="0" fontId="0" fillId="0" borderId="1" xfId="0"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3" fillId="18" borderId="1" xfId="7" applyBorder="1" applyAlignment="1">
      <alignment horizontal="center" vertical="center" wrapText="1"/>
    </xf>
    <xf numFmtId="0" fontId="1" fillId="0" borderId="3" xfId="0" applyFont="1" applyBorder="1"/>
    <xf numFmtId="0" fontId="1" fillId="0" borderId="3" xfId="0" applyFont="1" applyBorder="1" applyAlignment="1">
      <alignment horizontal="left" vertical="top"/>
    </xf>
    <xf numFmtId="0" fontId="0" fillId="0" borderId="3" xfId="0" applyBorder="1" applyAlignment="1">
      <alignment horizontal="left" vertical="center"/>
    </xf>
    <xf numFmtId="0" fontId="1" fillId="0" borderId="1" xfId="0" applyFont="1" applyBorder="1" applyAlignment="1">
      <alignment vertical="center"/>
    </xf>
    <xf numFmtId="0" fontId="0" fillId="0" borderId="1" xfId="0" applyBorder="1" applyAlignment="1">
      <alignment vertical="center"/>
    </xf>
    <xf numFmtId="0" fontId="0" fillId="0" borderId="0" xfId="0" applyAlignment="1">
      <alignment vertical="center"/>
    </xf>
    <xf numFmtId="165" fontId="0" fillId="0" borderId="0" xfId="0" applyNumberFormat="1"/>
    <xf numFmtId="1" fontId="0" fillId="0" borderId="3" xfId="0" applyNumberFormat="1" applyBorder="1" applyAlignment="1">
      <alignment horizontal="center" vertical="center"/>
    </xf>
    <xf numFmtId="0" fontId="0" fillId="0" borderId="3" xfId="0" applyBorder="1" applyAlignment="1">
      <alignment wrapText="1"/>
    </xf>
    <xf numFmtId="165" fontId="0" fillId="0" borderId="1" xfId="0" applyNumberFormat="1" applyBorder="1" applyAlignment="1">
      <alignment vertical="center"/>
    </xf>
    <xf numFmtId="0" fontId="1" fillId="22" borderId="0" xfId="0" applyFont="1" applyFill="1" applyAlignment="1">
      <alignment horizontal="left" vertical="top"/>
    </xf>
    <xf numFmtId="0" fontId="0" fillId="22" borderId="0" xfId="0" applyFill="1" applyAlignment="1">
      <alignment horizontal="left" vertical="top"/>
    </xf>
    <xf numFmtId="0" fontId="0" fillId="23" borderId="0" xfId="0" applyFill="1" applyAlignment="1">
      <alignment horizontal="left" vertical="top"/>
    </xf>
    <xf numFmtId="49" fontId="10" fillId="17" borderId="14" xfId="6" applyNumberFormat="1" applyBorder="1" applyAlignment="1">
      <alignment horizontal="left" vertical="top"/>
    </xf>
    <xf numFmtId="0" fontId="18" fillId="0" borderId="0" xfId="0" applyFont="1"/>
    <xf numFmtId="0" fontId="4" fillId="0" borderId="0" xfId="0" applyFont="1" applyAlignment="1">
      <alignment wrapText="1"/>
    </xf>
    <xf numFmtId="0" fontId="4" fillId="0" borderId="0" xfId="0" applyFont="1"/>
    <xf numFmtId="0" fontId="0" fillId="0" borderId="3" xfId="0" applyBorder="1"/>
    <xf numFmtId="0" fontId="19" fillId="19" borderId="16" xfId="0" quotePrefix="1" applyFont="1" applyFill="1" applyBorder="1" applyAlignment="1">
      <alignment horizontal="center" vertical="center" wrapText="1"/>
    </xf>
    <xf numFmtId="0" fontId="19" fillId="24" borderId="16" xfId="0" quotePrefix="1" applyFont="1" applyFill="1" applyBorder="1" applyAlignment="1">
      <alignment horizontal="center" vertical="center" wrapText="1"/>
    </xf>
    <xf numFmtId="0" fontId="1" fillId="0" borderId="5" xfId="0" applyFont="1" applyBorder="1"/>
    <xf numFmtId="0" fontId="0" fillId="0" borderId="17" xfId="0" applyBorder="1"/>
    <xf numFmtId="0" fontId="21" fillId="0" borderId="1" xfId="0" applyFont="1" applyBorder="1"/>
    <xf numFmtId="0" fontId="19" fillId="19" borderId="15" xfId="0" quotePrefix="1" applyFont="1" applyFill="1" applyBorder="1" applyAlignment="1">
      <alignment horizontal="center" vertical="center" wrapText="1"/>
    </xf>
    <xf numFmtId="0" fontId="19" fillId="24" borderId="15" xfId="0" quotePrefix="1" applyFont="1" applyFill="1" applyBorder="1" applyAlignment="1">
      <alignment horizontal="center" vertical="center" wrapText="1"/>
    </xf>
    <xf numFmtId="0" fontId="0" fillId="24" borderId="0" xfId="0" applyFill="1" applyAlignment="1">
      <alignment horizontal="left" vertical="top"/>
    </xf>
    <xf numFmtId="0" fontId="22" fillId="19" borderId="16" xfId="0" applyFont="1" applyFill="1" applyBorder="1" applyAlignment="1">
      <alignment horizontal="center" vertical="top" wrapText="1"/>
    </xf>
    <xf numFmtId="0" fontId="22" fillId="24" borderId="16" xfId="0" applyFont="1" applyFill="1" applyBorder="1" applyAlignment="1">
      <alignment horizontal="center" vertical="top" wrapText="1"/>
    </xf>
    <xf numFmtId="0" fontId="23" fillId="19" borderId="16" xfId="0" applyFont="1" applyFill="1" applyBorder="1" applyAlignment="1">
      <alignment horizontal="center" vertical="top" wrapText="1"/>
    </xf>
    <xf numFmtId="165" fontId="0" fillId="0" borderId="0" xfId="0" applyNumberFormat="1" applyAlignment="1">
      <alignment vertical="center"/>
    </xf>
    <xf numFmtId="0" fontId="1" fillId="0" borderId="18" xfId="0" applyFont="1" applyBorder="1" applyAlignment="1">
      <alignment horizontal="left" vertical="top"/>
    </xf>
    <xf numFmtId="0" fontId="0" fillId="0" borderId="1" xfId="0" quotePrefix="1" applyBorder="1" applyAlignment="1">
      <alignment wrapText="1"/>
    </xf>
    <xf numFmtId="0" fontId="0" fillId="0" borderId="1" xfId="0" applyBorder="1" applyAlignment="1">
      <alignment vertical="center" wrapText="1"/>
    </xf>
    <xf numFmtId="0" fontId="0" fillId="0" borderId="13" xfId="0" applyBorder="1" applyAlignment="1">
      <alignment vertical="center" wrapText="1"/>
    </xf>
    <xf numFmtId="49" fontId="6" fillId="13" borderId="1" xfId="3" applyNumberFormat="1" applyBorder="1" applyAlignment="1">
      <alignment horizontal="center" vertical="center"/>
    </xf>
    <xf numFmtId="0" fontId="0" fillId="19" borderId="16" xfId="0" applyFill="1" applyBorder="1" applyAlignment="1">
      <alignment horizontal="center"/>
    </xf>
    <xf numFmtId="0" fontId="0" fillId="19" borderId="16" xfId="0" applyFill="1" applyBorder="1" applyAlignment="1">
      <alignment horizontal="center" vertical="top"/>
    </xf>
    <xf numFmtId="49" fontId="3" fillId="13" borderId="1" xfId="2" applyNumberFormat="1" applyFill="1" applyBorder="1" applyAlignment="1">
      <alignment horizontal="center" vertical="center"/>
    </xf>
    <xf numFmtId="164" fontId="6" fillId="13" borderId="1" xfId="3" applyNumberFormat="1" applyBorder="1"/>
    <xf numFmtId="0" fontId="0" fillId="0" borderId="3" xfId="0" applyBorder="1" applyAlignment="1">
      <alignment horizontal="center" vertical="center"/>
    </xf>
    <xf numFmtId="0" fontId="0" fillId="0" borderId="5"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left" vertical="center"/>
    </xf>
    <xf numFmtId="0" fontId="0" fillId="0" borderId="5" xfId="0" applyBorder="1" applyAlignment="1">
      <alignment horizontal="left" vertical="center"/>
    </xf>
    <xf numFmtId="0" fontId="0" fillId="0" borderId="4" xfId="0" applyBorder="1" applyAlignment="1">
      <alignment horizontal="left" vertical="center"/>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left" vertical="center" wrapText="1"/>
    </xf>
    <xf numFmtId="0" fontId="0" fillId="0" borderId="5" xfId="0" applyBorder="1" applyAlignment="1">
      <alignment horizontal="left" vertical="center" wrapText="1"/>
    </xf>
    <xf numFmtId="0" fontId="0" fillId="0" borderId="4" xfId="0" applyBorder="1" applyAlignment="1">
      <alignment horizontal="left" vertical="center" wrapText="1"/>
    </xf>
    <xf numFmtId="0" fontId="6" fillId="13" borderId="1" xfId="3" applyBorder="1"/>
    <xf numFmtId="0" fontId="1" fillId="0" borderId="1" xfId="0" applyFont="1" applyBorder="1"/>
    <xf numFmtId="0" fontId="7" fillId="0" borderId="1" xfId="0" applyFont="1" applyBorder="1"/>
    <xf numFmtId="0" fontId="8" fillId="0" borderId="1" xfId="0" applyFont="1" applyBorder="1"/>
    <xf numFmtId="0" fontId="1" fillId="14" borderId="1" xfId="4" applyFont="1" applyBorder="1"/>
    <xf numFmtId="0" fontId="10" fillId="17" borderId="6" xfId="6" applyAlignment="1">
      <alignment horizontal="center" vertical="center"/>
    </xf>
    <xf numFmtId="0" fontId="10" fillId="17" borderId="10" xfId="6" applyBorder="1" applyAlignment="1">
      <alignment horizontal="center" wrapText="1"/>
    </xf>
    <xf numFmtId="0" fontId="10" fillId="17" borderId="11" xfId="6" applyBorder="1" applyAlignment="1">
      <alignment horizontal="center" wrapText="1"/>
    </xf>
    <xf numFmtId="0" fontId="10" fillId="17" borderId="12" xfId="6" applyBorder="1" applyAlignment="1">
      <alignment horizontal="center" wrapText="1"/>
    </xf>
    <xf numFmtId="0" fontId="0" fillId="0" borderId="1" xfId="0" applyBorder="1" applyAlignment="1">
      <alignment horizontal="center" vertical="center"/>
    </xf>
    <xf numFmtId="0" fontId="10" fillId="17" borderId="6" xfId="6" applyAlignment="1">
      <alignment horizontal="center"/>
    </xf>
  </cellXfs>
  <cellStyles count="9">
    <cellStyle name="Accent2" xfId="8" builtinId="33"/>
    <cellStyle name="Check Cell" xfId="6" builtinId="23"/>
    <cellStyle name="Explanatory Text" xfId="1" builtinId="53"/>
    <cellStyle name="Good" xfId="3" builtinId="26"/>
    <cellStyle name="Hyperlink" xfId="2" builtinId="8"/>
    <cellStyle name="Neutral" xfId="5" builtinId="28"/>
    <cellStyle name="Normal" xfId="0" builtinId="0"/>
    <cellStyle name="Note" xfId="4" builtinId="10"/>
    <cellStyle name="Output" xfId="7" builtinId="21"/>
  </cellStyles>
  <dxfs count="6">
    <dxf>
      <font>
        <color theme="0"/>
      </font>
      <fill>
        <patternFill>
          <bgColor rgb="FFFF6600"/>
        </patternFill>
      </fill>
    </dxf>
    <dxf>
      <font>
        <color rgb="FFFFFFFF"/>
      </font>
      <fill>
        <patternFill>
          <bgColor rgb="FFFF6600"/>
        </patternFill>
      </fill>
    </dxf>
    <dxf>
      <fill>
        <patternFill>
          <bgColor rgb="FFC6EFCE"/>
        </patternFill>
      </fill>
    </dxf>
    <dxf>
      <fill>
        <patternFill patternType="none">
          <bgColor auto="1"/>
        </patternFill>
      </fill>
    </dxf>
    <dxf>
      <fill>
        <patternFill>
          <fgColor indexed="64"/>
          <bgColor rgb="FFC77600"/>
        </patternFill>
      </fill>
    </dxf>
    <dxf>
      <fill>
        <patternFill>
          <fgColor indexed="64"/>
          <bgColor rgb="FFC77600"/>
        </patternFill>
      </fill>
    </dxf>
  </dxfs>
  <tableStyles count="0" defaultTableStyle="TableStyleMedium2" defaultPivotStyle="PivotStyleLight16"/>
  <colors>
    <mruColors>
      <color rgb="FF66FFCC"/>
      <color rgb="FFFF6600"/>
      <color rgb="FFFFFFFF"/>
      <color rgb="FFFF3300"/>
      <color rgb="FFC6EFCE"/>
      <color rgb="FF0061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590550</xdr:colOff>
          <xdr:row>17</xdr:row>
          <xdr:rowOff>180975</xdr:rowOff>
        </xdr:from>
        <xdr:to>
          <xdr:col>6</xdr:col>
          <xdr:colOff>476250</xdr:colOff>
          <xdr:row>18</xdr:row>
          <xdr:rowOff>0</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300-000005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Tables For Maps</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21</xdr:row>
          <xdr:rowOff>9525</xdr:rowOff>
        </xdr:from>
        <xdr:to>
          <xdr:col>7</xdr:col>
          <xdr:colOff>104775</xdr:colOff>
          <xdr:row>23</xdr:row>
          <xdr:rowOff>9525</xdr:rowOff>
        </xdr:to>
        <xdr:sp macro="" textlink="">
          <xdr:nvSpPr>
            <xdr:cNvPr id="48135" name="Button 7" hidden="1">
              <a:extLst>
                <a:ext uri="{63B3BB69-23CF-44E3-9099-C40C66FF867C}">
                  <a14:compatExt spid="_x0000_s48135"/>
                </a:ext>
                <a:ext uri="{FF2B5EF4-FFF2-40B4-BE49-F238E27FC236}">
                  <a16:creationId xmlns:a16="http://schemas.microsoft.com/office/drawing/2014/main" id="{00000000-0008-0000-0300-000007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Tables For Code Lists</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733425</xdr:rowOff>
        </xdr:from>
        <xdr:to>
          <xdr:col>7</xdr:col>
          <xdr:colOff>209550</xdr:colOff>
          <xdr:row>19</xdr:row>
          <xdr:rowOff>171450</xdr:rowOff>
        </xdr:to>
        <xdr:sp macro="" textlink="">
          <xdr:nvSpPr>
            <xdr:cNvPr id="48139" name="Button 11" hidden="1">
              <a:extLst>
                <a:ext uri="{63B3BB69-23CF-44E3-9099-C40C66FF867C}">
                  <a14:compatExt spid="_x0000_s48139"/>
                </a:ext>
                <a:ext uri="{FF2B5EF4-FFF2-40B4-BE49-F238E27FC236}">
                  <a16:creationId xmlns:a16="http://schemas.microsoft.com/office/drawing/2014/main" id="{00000000-0008-0000-0300-00000B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Tables For Stylesheets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28575</xdr:colOff>
          <xdr:row>13</xdr:row>
          <xdr:rowOff>171450</xdr:rowOff>
        </xdr:from>
        <xdr:to>
          <xdr:col>5</xdr:col>
          <xdr:colOff>1552575</xdr:colOff>
          <xdr:row>14</xdr:row>
          <xdr:rowOff>209550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Password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2447925</xdr:colOff>
          <xdr:row>57</xdr:row>
          <xdr:rowOff>285750</xdr:rowOff>
        </xdr:from>
        <xdr:to>
          <xdr:col>6</xdr:col>
          <xdr:colOff>800100</xdr:colOff>
          <xdr:row>57</xdr:row>
          <xdr:rowOff>1085850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D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GB" sz="1100" b="0" i="0" u="none" strike="noStrike" baseline="0">
                <a:solidFill>
                  <a:srgbClr val="000000"/>
                </a:solidFill>
                <a:latin typeface="Calibri"/>
                <a:ea typeface="Calibri"/>
                <a:cs typeface="Calibri"/>
              </a:endParaRPr>
            </a:p>
            <a:p>
              <a:pPr algn="ctr" rtl="0">
                <a:defRPr sz="1000"/>
              </a:pPr>
              <a:r>
                <a:rPr lang="en-GB" sz="1100" b="0" i="0" u="none" strike="noStrike" baseline="0">
                  <a:solidFill>
                    <a:srgbClr val="000000"/>
                  </a:solidFill>
                  <a:latin typeface="Calibri"/>
                  <a:ea typeface="Calibri"/>
                  <a:cs typeface="Calibri"/>
                </a:rPr>
                <a:t>Click the cell with the bpml.</a:t>
              </a:r>
            </a:p>
            <a:p>
              <a:pPr algn="ctr" rtl="0">
                <a:defRPr sz="1000"/>
              </a:pPr>
              <a:r>
                <a:rPr lang="en-GB" sz="1100" b="0" i="0" u="none" strike="noStrike" baseline="0">
                  <a:solidFill>
                    <a:srgbClr val="000000"/>
                  </a:solidFill>
                  <a:latin typeface="Calibri"/>
                  <a:ea typeface="Calibri"/>
                  <a:cs typeface="Calibri"/>
                </a:rPr>
                <a:t>Then click this button to copy it to the clipboard.</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2486025</xdr:colOff>
          <xdr:row>131</xdr:row>
          <xdr:rowOff>180975</xdr:rowOff>
        </xdr:from>
        <xdr:to>
          <xdr:col>6</xdr:col>
          <xdr:colOff>838200</xdr:colOff>
          <xdr:row>132</xdr:row>
          <xdr:rowOff>790575</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D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GB" sz="1100" b="0" i="0" u="none" strike="noStrike" baseline="0">
                <a:solidFill>
                  <a:srgbClr val="000000"/>
                </a:solidFill>
                <a:latin typeface="Calibri"/>
                <a:ea typeface="Calibri"/>
                <a:cs typeface="Calibri"/>
              </a:endParaRPr>
            </a:p>
            <a:p>
              <a:pPr algn="ctr" rtl="0">
                <a:defRPr sz="1000"/>
              </a:pPr>
              <a:r>
                <a:rPr lang="en-GB" sz="1100" b="0" i="0" u="none" strike="noStrike" baseline="0">
                  <a:solidFill>
                    <a:srgbClr val="000000"/>
                  </a:solidFill>
                  <a:latin typeface="Calibri"/>
                  <a:ea typeface="Calibri"/>
                  <a:cs typeface="Calibri"/>
                </a:rPr>
                <a:t>Click the cell with the bpml.</a:t>
              </a:r>
            </a:p>
            <a:p>
              <a:pPr algn="ctr" rtl="0">
                <a:defRPr sz="1000"/>
              </a:pPr>
              <a:r>
                <a:rPr lang="en-GB" sz="1100" b="0" i="0" u="none" strike="noStrike" baseline="0">
                  <a:solidFill>
                    <a:srgbClr val="000000"/>
                  </a:solidFill>
                  <a:latin typeface="Calibri"/>
                  <a:ea typeface="Calibri"/>
                  <a:cs typeface="Calibri"/>
                </a:rPr>
                <a:t>Then click this button to copy it to the clipboard.</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48</xdr:row>
          <xdr:rowOff>133350</xdr:rowOff>
        </xdr:from>
        <xdr:to>
          <xdr:col>7</xdr:col>
          <xdr:colOff>0</xdr:colOff>
          <xdr:row>48</xdr:row>
          <xdr:rowOff>981075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GB" sz="1100" b="0" i="0" u="none" strike="noStrike" baseline="0">
                <a:solidFill>
                  <a:srgbClr val="000000"/>
                </a:solidFill>
                <a:latin typeface="Calibri"/>
                <a:ea typeface="Calibri"/>
                <a:cs typeface="Calibri"/>
              </a:endParaRPr>
            </a:p>
            <a:p>
              <a:pPr algn="ctr" rtl="0">
                <a:defRPr sz="1000"/>
              </a:pPr>
              <a:r>
                <a:rPr lang="en-GB" sz="1100" b="0" i="0" u="none" strike="noStrike" baseline="0">
                  <a:solidFill>
                    <a:srgbClr val="000000"/>
                  </a:solidFill>
                  <a:latin typeface="Calibri"/>
                  <a:ea typeface="Calibri"/>
                  <a:cs typeface="Calibri"/>
                </a:rPr>
                <a:t>Click the cell with the bpml.</a:t>
              </a:r>
            </a:p>
            <a:p>
              <a:pPr algn="ctr" rtl="0">
                <a:defRPr sz="1000"/>
              </a:pPr>
              <a:r>
                <a:rPr lang="en-GB" sz="1100" b="0" i="0" u="none" strike="noStrike" baseline="0">
                  <a:solidFill>
                    <a:srgbClr val="000000"/>
                  </a:solidFill>
                  <a:latin typeface="Calibri"/>
                  <a:ea typeface="Calibri"/>
                  <a:cs typeface="Calibri"/>
                </a:rPr>
                <a:t>Then click this button to copy it to the clipboard.</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116</xdr:row>
          <xdr:rowOff>123825</xdr:rowOff>
        </xdr:from>
        <xdr:to>
          <xdr:col>7</xdr:col>
          <xdr:colOff>0</xdr:colOff>
          <xdr:row>116</xdr:row>
          <xdr:rowOff>866775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E00-000003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GB" sz="1100" b="0" i="0" u="none" strike="noStrike" baseline="0">
                <a:solidFill>
                  <a:srgbClr val="000000"/>
                </a:solidFill>
                <a:latin typeface="Calibri"/>
                <a:ea typeface="Calibri"/>
                <a:cs typeface="Calibri"/>
              </a:endParaRPr>
            </a:p>
            <a:p>
              <a:pPr algn="ctr" rtl="0">
                <a:defRPr sz="1000"/>
              </a:pPr>
              <a:r>
                <a:rPr lang="en-GB" sz="1100" b="0" i="0" u="none" strike="noStrike" baseline="0">
                  <a:solidFill>
                    <a:srgbClr val="000000"/>
                  </a:solidFill>
                  <a:latin typeface="Calibri"/>
                  <a:ea typeface="Calibri"/>
                  <a:cs typeface="Calibri"/>
                </a:rPr>
                <a:t>Click the cell with the bpml.</a:t>
              </a:r>
            </a:p>
            <a:p>
              <a:pPr algn="ctr" rtl="0">
                <a:defRPr sz="1000"/>
              </a:pPr>
              <a:r>
                <a:rPr lang="en-GB" sz="1100" b="0" i="0" u="none" strike="noStrike" baseline="0">
                  <a:solidFill>
                    <a:srgbClr val="000000"/>
                  </a:solidFill>
                  <a:latin typeface="Calibri"/>
                  <a:ea typeface="Calibri"/>
                  <a:cs typeface="Calibri"/>
                </a:rPr>
                <a:t>Then click this button to copy it to the clipboard.</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endment%20for%20solutions%20map%20names%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Amendment for solutions map nam"/>
    </sheetNames>
    <sheetDataSet>
      <sheetData sheetId="0">
        <row r="1">
          <cell r="A1" t="str">
            <v>RP message</v>
          </cell>
          <cell r="B1" t="str">
            <v>RP version and release</v>
          </cell>
          <cell r="C1" t="str">
            <v>Generic map message type</v>
          </cell>
          <cell r="D1" t="str">
            <v>New code to add</v>
          </cell>
        </row>
        <row r="2">
          <cell r="A2" t="str">
            <v>APERAK</v>
          </cell>
          <cell r="B2" t="str">
            <v>0101</v>
          </cell>
          <cell r="C2" t="str">
            <v>WMS-AAM</v>
          </cell>
          <cell r="D2" t="str">
            <v>APERAK01</v>
          </cell>
        </row>
        <row r="3">
          <cell r="A3" t="str">
            <v>ASN</v>
          </cell>
          <cell r="B3" t="str">
            <v>0300</v>
          </cell>
          <cell r="C3" t="str">
            <v>WMS-DAM</v>
          </cell>
          <cell r="D3" t="str">
            <v>ASN03</v>
          </cell>
        </row>
        <row r="4">
          <cell r="A4" t="str">
            <v>BATMAS</v>
          </cell>
          <cell r="B4" t="str">
            <v>0100</v>
          </cell>
          <cell r="C4" t="str">
            <v>WMS-PDM</v>
          </cell>
          <cell r="D4" t="str">
            <v>BATMAS01</v>
          </cell>
        </row>
        <row r="5">
          <cell r="A5" t="str">
            <v>BOM</v>
          </cell>
          <cell r="B5" t="str">
            <v>0100</v>
          </cell>
          <cell r="C5" t="str">
            <v>WMS-PDM</v>
          </cell>
          <cell r="D5" t="str">
            <v>BOM01</v>
          </cell>
        </row>
        <row r="6">
          <cell r="A6" t="str">
            <v>CARINS</v>
          </cell>
          <cell r="B6" t="str">
            <v>0100</v>
          </cell>
          <cell r="C6" t="str">
            <v>IFCSUM D10B</v>
          </cell>
          <cell r="D6" t="str">
            <v>CARINS01</v>
          </cell>
        </row>
        <row r="7">
          <cell r="A7" t="str">
            <v>CFMSTS</v>
          </cell>
          <cell r="B7" t="str">
            <v>0100</v>
          </cell>
          <cell r="C7" t="str">
            <v>WMS-DAM</v>
          </cell>
          <cell r="D7" t="str">
            <v>CFMSTS01</v>
          </cell>
        </row>
        <row r="8">
          <cell r="A8" t="str">
            <v>CONS</v>
          </cell>
          <cell r="B8" t="str">
            <v>0100</v>
          </cell>
          <cell r="C8" t="str">
            <v>WMS-DEO</v>
          </cell>
          <cell r="D8" t="str">
            <v>CONS01</v>
          </cell>
        </row>
        <row r="9">
          <cell r="A9" t="str">
            <v>DESADV</v>
          </cell>
          <cell r="B9" t="str">
            <v>0103</v>
          </cell>
          <cell r="C9" t="str">
            <v>WMS-DAM</v>
          </cell>
          <cell r="D9" t="str">
            <v>DESADV01</v>
          </cell>
        </row>
        <row r="10">
          <cell r="A10" t="str">
            <v>DESADV</v>
          </cell>
          <cell r="B10" t="str">
            <v>0302</v>
          </cell>
          <cell r="C10" t="str">
            <v>WMS-DAM</v>
          </cell>
          <cell r="D10" t="str">
            <v>DESADV03</v>
          </cell>
        </row>
        <row r="11">
          <cell r="A11" t="str">
            <v>HANMOV</v>
          </cell>
          <cell r="B11" t="str">
            <v>0101</v>
          </cell>
          <cell r="C11" t="str">
            <v>WMS-IMM</v>
          </cell>
          <cell r="D11" t="str">
            <v>HANMOV01</v>
          </cell>
        </row>
        <row r="12">
          <cell r="A12" t="str">
            <v>INSDES</v>
          </cell>
          <cell r="B12" t="str">
            <v>0100</v>
          </cell>
          <cell r="C12" t="str">
            <v>WMS-DEO</v>
          </cell>
          <cell r="D12" t="str">
            <v>INSDES01</v>
          </cell>
        </row>
        <row r="13">
          <cell r="A13" t="str">
            <v>INVADJ</v>
          </cell>
          <cell r="B13" t="str">
            <v>0100</v>
          </cell>
          <cell r="C13" t="str">
            <v>WMS-IMM</v>
          </cell>
          <cell r="D13" t="str">
            <v>INVADJ01</v>
          </cell>
        </row>
        <row r="14">
          <cell r="A14" t="str">
            <v>ORDCONS</v>
          </cell>
          <cell r="B14" t="str">
            <v>0100</v>
          </cell>
          <cell r="C14" t="str">
            <v>WMS-DEO</v>
          </cell>
          <cell r="D14" t="str">
            <v>ORDCONS01</v>
          </cell>
        </row>
        <row r="15">
          <cell r="A15" t="str">
            <v>PREADV</v>
          </cell>
          <cell r="B15" t="str">
            <v>0100</v>
          </cell>
          <cell r="C15" t="str">
            <v>WMS-RNM</v>
          </cell>
          <cell r="D15" t="str">
            <v>PREADV01</v>
          </cell>
        </row>
        <row r="16">
          <cell r="A16" t="str">
            <v>PRODAT</v>
          </cell>
          <cell r="B16" t="str">
            <v>0300</v>
          </cell>
          <cell r="C16" t="str">
            <v>WMS-PDM</v>
          </cell>
          <cell r="D16" t="str">
            <v>PRODAT03</v>
          </cell>
        </row>
        <row r="17">
          <cell r="A17" t="str">
            <v>RECADV</v>
          </cell>
          <cell r="B17" t="str">
            <v>0100</v>
          </cell>
          <cell r="C17" t="str">
            <v>WMS-RAM</v>
          </cell>
          <cell r="D17" t="str">
            <v>RECADV01</v>
          </cell>
        </row>
        <row r="18">
          <cell r="A18" t="str">
            <v>RECADV</v>
          </cell>
          <cell r="B18" t="str">
            <v>0200</v>
          </cell>
          <cell r="C18" t="str">
            <v>WMS-RAM</v>
          </cell>
          <cell r="D18" t="str">
            <v>RECADV02</v>
          </cell>
        </row>
        <row r="19">
          <cell r="A19" t="str">
            <v>SKUHAZ</v>
          </cell>
          <cell r="B19" t="str">
            <v>0100</v>
          </cell>
          <cell r="C19" t="str">
            <v>WMS-PDM</v>
          </cell>
          <cell r="D19" t="str">
            <v>SKUHAZ01</v>
          </cell>
        </row>
        <row r="20">
          <cell r="A20" t="str">
            <v>SPECINSTR</v>
          </cell>
          <cell r="B20" t="str">
            <v>0100</v>
          </cell>
          <cell r="C20" t="str">
            <v>WMS-RNM</v>
          </cell>
          <cell r="D20" t="str">
            <v>SPECINSTR01</v>
          </cell>
        </row>
        <row r="21">
          <cell r="A21" t="str">
            <v>UPICON</v>
          </cell>
          <cell r="B21" t="str">
            <v>0100</v>
          </cell>
          <cell r="C21" t="str">
            <v>WMS-RAM</v>
          </cell>
          <cell r="D21" t="str">
            <v>UPICON01</v>
          </cell>
        </row>
        <row r="22">
          <cell r="A22" t="str">
            <v>UPIREC</v>
          </cell>
          <cell r="B22" t="str">
            <v>0100</v>
          </cell>
          <cell r="C22" t="str">
            <v>WMS-RNM</v>
          </cell>
          <cell r="D22" t="str">
            <v>UPIREC01</v>
          </cell>
        </row>
        <row r="23">
          <cell r="A23" t="str">
            <v>WORDER</v>
          </cell>
          <cell r="B23" t="str">
            <v>0100</v>
          </cell>
          <cell r="C23" t="str">
            <v>WMS-DEO</v>
          </cell>
          <cell r="D23" t="str">
            <v>WORDER01</v>
          </cell>
        </row>
        <row r="24">
          <cell r="A24" t="str">
            <v>WRKCON</v>
          </cell>
          <cell r="B24" t="str">
            <v>0100</v>
          </cell>
          <cell r="C24" t="str">
            <v>WMS-DAM</v>
          </cell>
          <cell r="D24" t="str">
            <v>WRKCON01</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17" Type="http://schemas.openxmlformats.org/officeDocument/2006/relationships/hyperlink" Target="https://www.gs1us.org/resources/rosettanet/standards-library/pip-directory/5d-ship-from-stock-and-debit" TargetMode="External"/><Relationship Id="rId21" Type="http://schemas.openxmlformats.org/officeDocument/2006/relationships/hyperlink" Target="https://www.gs1us.org/resources/rosettanet/standards-library/pip-directory/2b-product-change-notification" TargetMode="External"/><Relationship Id="rId42" Type="http://schemas.openxmlformats.org/officeDocument/2006/relationships/hyperlink" Target="https://www.gs1us.org/resources/rosettanet/standards-library/pip-directory/3a-quotes-pricing-availability" TargetMode="External"/><Relationship Id="rId63" Type="http://schemas.openxmlformats.org/officeDocument/2006/relationships/hyperlink" Target="https://www.gs1us.org/resources/rosettanet/standards-library/pip-directory/3b-transportation-and-distribution" TargetMode="External"/><Relationship Id="rId84" Type="http://schemas.openxmlformats.org/officeDocument/2006/relationships/hyperlink" Target="https://www.gs1us.org/resources/rosettanet/standards-library/pip-directory/3c-returns-and-finance" TargetMode="External"/><Relationship Id="rId16" Type="http://schemas.openxmlformats.org/officeDocument/2006/relationships/hyperlink" Target="https://www.gs1us.org/resources/rosettanet/standards-library/pip-directory/2a-preperation-for-distribution" TargetMode="External"/><Relationship Id="rId107" Type="http://schemas.openxmlformats.org/officeDocument/2006/relationships/hyperlink" Target="https://www.gs1us.org/resources/rosettanet/standards-library/pip-directory/5c-design-win-management" TargetMode="External"/><Relationship Id="rId11" Type="http://schemas.openxmlformats.org/officeDocument/2006/relationships/hyperlink" Target="https://www.gs1us.org/resources/rosettanet/standards-library/pip-directory/2a-preperation-for-distribution" TargetMode="External"/><Relationship Id="rId32" Type="http://schemas.openxmlformats.org/officeDocument/2006/relationships/hyperlink" Target="https://www.gs1us.org/resources/rosettanet/standards-library/pip-directory/2c-product-design-information" TargetMode="External"/><Relationship Id="rId37" Type="http://schemas.openxmlformats.org/officeDocument/2006/relationships/hyperlink" Target="https://www.gs1us.org/resources/rosettanet/standards-library/pip-directory/2c-product-design-information" TargetMode="External"/><Relationship Id="rId53" Type="http://schemas.openxmlformats.org/officeDocument/2006/relationships/hyperlink" Target="https://www.gs1us.org/resources/rosettanet/standards-library/pip-directory/3a-quotes-pricing-availability" TargetMode="External"/><Relationship Id="rId58" Type="http://schemas.openxmlformats.org/officeDocument/2006/relationships/hyperlink" Target="https://www.gs1us.org/resources/rosettanet/standards-library/pip-directory/3a-purchase-orders" TargetMode="External"/><Relationship Id="rId74" Type="http://schemas.openxmlformats.org/officeDocument/2006/relationships/hyperlink" Target="https://www.gs1us.org/resources/rosettanet/standards-library/pip-directory/3b-transportation-and-distribution" TargetMode="External"/><Relationship Id="rId79" Type="http://schemas.openxmlformats.org/officeDocument/2006/relationships/hyperlink" Target="https://www.gs1us.org/resources/rosettanet/standards-library/pip-directory/3c-returns-and-finance" TargetMode="External"/><Relationship Id="rId102" Type="http://schemas.openxmlformats.org/officeDocument/2006/relationships/hyperlink" Target="https://www.gs1us.org/resources/rosettanet/standards-library/pip-directory/5c-design-win-management" TargetMode="External"/><Relationship Id="rId123" Type="http://schemas.openxmlformats.org/officeDocument/2006/relationships/hyperlink" Target="https://www.gs1us.org/resources/rosettanet/standards-library/pip-directory/6-service-and-support" TargetMode="External"/><Relationship Id="rId128" Type="http://schemas.openxmlformats.org/officeDocument/2006/relationships/hyperlink" Target="https://www.gs1us.org/resources/rosettanet/standards-library/pip-directory/7-manufacturing" TargetMode="External"/><Relationship Id="rId5" Type="http://schemas.openxmlformats.org/officeDocument/2006/relationships/hyperlink" Target="https://www.gs1us.org/resources/rosettanet/standards-library/pip-directory/0-rossettanaet-support" TargetMode="External"/><Relationship Id="rId90" Type="http://schemas.openxmlformats.org/officeDocument/2006/relationships/hyperlink" Target="https://www.gs1us.org/resources/rosettanet/standards-library/pip-directory/4a-collaborative-forcasting" TargetMode="External"/><Relationship Id="rId95" Type="http://schemas.openxmlformats.org/officeDocument/2006/relationships/hyperlink" Target="https://www.gs1us.org/resources/rosettanet/standards-library/pip-directory/4b-c-d-e-inventory-and-reporting" TargetMode="External"/><Relationship Id="rId22" Type="http://schemas.openxmlformats.org/officeDocument/2006/relationships/hyperlink" Target="https://www.gs1us.org/resources/rosettanet/standards-library/pip-directory/2b-product-change-notification" TargetMode="External"/><Relationship Id="rId27" Type="http://schemas.openxmlformats.org/officeDocument/2006/relationships/hyperlink" Target="https://www.gs1us.org/resources/rosettanet/standards-library/pip-directory/2b-product-change-notification" TargetMode="External"/><Relationship Id="rId43" Type="http://schemas.openxmlformats.org/officeDocument/2006/relationships/hyperlink" Target="https://www.gs1us.org/resources/rosettanet/standards-library/pip-directory/3a-purchase-orders" TargetMode="External"/><Relationship Id="rId48" Type="http://schemas.openxmlformats.org/officeDocument/2006/relationships/hyperlink" Target="https://www.gs1us.org/resources/rosettanet/standards-library/pip-directory/3a-purchase-orders" TargetMode="External"/><Relationship Id="rId64" Type="http://schemas.openxmlformats.org/officeDocument/2006/relationships/hyperlink" Target="https://www.gs1us.org/resources/rosettanet/standards-library/pip-directory/3b-transportation-and-distribution" TargetMode="External"/><Relationship Id="rId69" Type="http://schemas.openxmlformats.org/officeDocument/2006/relationships/hyperlink" Target="https://www.gs1us.org/resources/rosettanet/standards-library/pip-directory/3b-transportation-and-distribution" TargetMode="External"/><Relationship Id="rId113" Type="http://schemas.openxmlformats.org/officeDocument/2006/relationships/hyperlink" Target="https://www.gs1us.org/resources/rosettanet/standards-library/pip-directory/5d-ship-from-stock-and-debit" TargetMode="External"/><Relationship Id="rId118" Type="http://schemas.openxmlformats.org/officeDocument/2006/relationships/hyperlink" Target="https://www.gs1us.org/resources/rosettanet/standards-library/pip-directory/6-service-and-support" TargetMode="External"/><Relationship Id="rId134" Type="http://schemas.openxmlformats.org/officeDocument/2006/relationships/hyperlink" Target="https://www.gs1us.org/resources/rosettanet/standards-library/pip-directory/7-manufacturing" TargetMode="External"/><Relationship Id="rId80" Type="http://schemas.openxmlformats.org/officeDocument/2006/relationships/hyperlink" Target="https://www.gs1us.org/resources/rosettanet/standards-library/pip-directory/3c-returns-and-finance" TargetMode="External"/><Relationship Id="rId85" Type="http://schemas.openxmlformats.org/officeDocument/2006/relationships/hyperlink" Target="https://www.gs1us.org/resources/rosettanet/standards-library/pip-directory/3c-returns-and-finance" TargetMode="External"/><Relationship Id="rId12" Type="http://schemas.openxmlformats.org/officeDocument/2006/relationships/hyperlink" Target="https://www.gs1us.org/resources/rosettanet/standards-library/pip-directory/2a-preperation-for-distribution" TargetMode="External"/><Relationship Id="rId17" Type="http://schemas.openxmlformats.org/officeDocument/2006/relationships/hyperlink" Target="https://www.gs1us.org/resources/rosettanet/standards-library/pip-directory/2a-preperation-for-distribution" TargetMode="External"/><Relationship Id="rId33" Type="http://schemas.openxmlformats.org/officeDocument/2006/relationships/hyperlink" Target="https://www.gs1us.org/resources/rosettanet/standards-library/pip-directory/2c-product-design-information" TargetMode="External"/><Relationship Id="rId38" Type="http://schemas.openxmlformats.org/officeDocument/2006/relationships/hyperlink" Target="https://www.gs1us.org/resources/rosettanet/standards-library/pip-directory/2c-product-design-information" TargetMode="External"/><Relationship Id="rId59" Type="http://schemas.openxmlformats.org/officeDocument/2006/relationships/hyperlink" Target="https://www.gs1us.org/resources/rosettanet/standards-library/pip-directory/3a-purchase-orders" TargetMode="External"/><Relationship Id="rId103" Type="http://schemas.openxmlformats.org/officeDocument/2006/relationships/hyperlink" Target="https://www.gs1us.org/resources/rosettanet/standards-library/pip-directory/5c-design-win-management" TargetMode="External"/><Relationship Id="rId108" Type="http://schemas.openxmlformats.org/officeDocument/2006/relationships/hyperlink" Target="https://www.gs1us.org/resources/rosettanet/standards-library/pip-directory/5d-ship-from-stock-and-debit" TargetMode="External"/><Relationship Id="rId124" Type="http://schemas.openxmlformats.org/officeDocument/2006/relationships/hyperlink" Target="https://www.gs1us.org/resources/rosettanet/standards-library/pip-directory/6-service-and-support" TargetMode="External"/><Relationship Id="rId129" Type="http://schemas.openxmlformats.org/officeDocument/2006/relationships/hyperlink" Target="https://www.gs1us.org/resources/rosettanet/standards-library/pip-directory/7-manufacturing" TargetMode="External"/><Relationship Id="rId54" Type="http://schemas.openxmlformats.org/officeDocument/2006/relationships/hyperlink" Target="https://www.gs1us.org/resources/rosettanet/standards-library/pip-directory/3a-quotes-pricing-availability" TargetMode="External"/><Relationship Id="rId70" Type="http://schemas.openxmlformats.org/officeDocument/2006/relationships/hyperlink" Target="https://www.gs1us.org/resources/rosettanet/standards-library/pip-directory/3b-transportation-and-distribution" TargetMode="External"/><Relationship Id="rId75" Type="http://schemas.openxmlformats.org/officeDocument/2006/relationships/hyperlink" Target="https://www.gs1us.org/resources/rosettanet/standards-library/pip-directory/3b-transportation-and-distribution" TargetMode="External"/><Relationship Id="rId91" Type="http://schemas.openxmlformats.org/officeDocument/2006/relationships/hyperlink" Target="https://www.gs1us.org/resources/rosettanet/standards-library/pip-directory/4a-collaborative-forcasting" TargetMode="External"/><Relationship Id="rId96" Type="http://schemas.openxmlformats.org/officeDocument/2006/relationships/hyperlink" Target="https://www.gs1us.org/resources/rosettanet/standards-library/pip-directory/4b-c-d-e-inventory-and-reporting" TargetMode="External"/><Relationship Id="rId1" Type="http://schemas.openxmlformats.org/officeDocument/2006/relationships/hyperlink" Target="https://www.gs1us.org/resources/rosettanet/standards-library/pip-directory/0-rossettanaet-support" TargetMode="External"/><Relationship Id="rId6" Type="http://schemas.openxmlformats.org/officeDocument/2006/relationships/hyperlink" Target="https://www.gs1us.org/resources/rosettanet/standards-library/pip-directory/1-partner-product-and-service-review" TargetMode="External"/><Relationship Id="rId23" Type="http://schemas.openxmlformats.org/officeDocument/2006/relationships/hyperlink" Target="https://www.gs1us.org/resources/rosettanet/standards-library/pip-directory/2b-product-change-notification" TargetMode="External"/><Relationship Id="rId28" Type="http://schemas.openxmlformats.org/officeDocument/2006/relationships/hyperlink" Target="https://www.gs1us.org/resources/rosettanet/standards-library/pip-directory/2b-product-change-notification" TargetMode="External"/><Relationship Id="rId49" Type="http://schemas.openxmlformats.org/officeDocument/2006/relationships/hyperlink" Target="https://www.gs1us.org/resources/rosettanet/standards-library/pip-directory/3a-purchase-orders" TargetMode="External"/><Relationship Id="rId114" Type="http://schemas.openxmlformats.org/officeDocument/2006/relationships/hyperlink" Target="https://www.gs1us.org/resources/rosettanet/standards-library/pip-directory/5d-ship-from-stock-and-debit" TargetMode="External"/><Relationship Id="rId119" Type="http://schemas.openxmlformats.org/officeDocument/2006/relationships/hyperlink" Target="https://www.gs1us.org/resources/rosettanet/standards-library/pip-directory/6-service-and-support" TargetMode="External"/><Relationship Id="rId44" Type="http://schemas.openxmlformats.org/officeDocument/2006/relationships/hyperlink" Target="https://www.gs1us.org/resources/rosettanet/standards-library/pip-directory/3a-purchase-orders" TargetMode="External"/><Relationship Id="rId60" Type="http://schemas.openxmlformats.org/officeDocument/2006/relationships/hyperlink" Target="https://www.gs1us.org/resources/rosettanet/standards-library/pip-directory/3a-purchase-orders" TargetMode="External"/><Relationship Id="rId65" Type="http://schemas.openxmlformats.org/officeDocument/2006/relationships/hyperlink" Target="https://www.gs1us.org/resources/rosettanet/standards-library/pip-directory/3b-transportation-and-distribution" TargetMode="External"/><Relationship Id="rId81" Type="http://schemas.openxmlformats.org/officeDocument/2006/relationships/hyperlink" Target="https://www.gs1us.org/resources/rosettanet/standards-library/pip-directory/3c-returns-and-finance" TargetMode="External"/><Relationship Id="rId86" Type="http://schemas.openxmlformats.org/officeDocument/2006/relationships/hyperlink" Target="https://www.gs1us.org/resources/rosettanet/standards-library/pip-directory/3c-returns-and-finance" TargetMode="External"/><Relationship Id="rId130" Type="http://schemas.openxmlformats.org/officeDocument/2006/relationships/hyperlink" Target="https://www.gs1us.org/resources/rosettanet/standards-library/pip-directory/7-manufacturing" TargetMode="External"/><Relationship Id="rId135" Type="http://schemas.openxmlformats.org/officeDocument/2006/relationships/printerSettings" Target="../printerSettings/printerSettings15.bin"/><Relationship Id="rId13" Type="http://schemas.openxmlformats.org/officeDocument/2006/relationships/hyperlink" Target="https://www.gs1us.org/resources/rosettanet/standards-library/pip-directory/2a-preperation-for-distribution" TargetMode="External"/><Relationship Id="rId18" Type="http://schemas.openxmlformats.org/officeDocument/2006/relationships/hyperlink" Target="https://www.gs1us.org/resources/rosettanet/standards-library/pip-directory/2a-preperation-for-distribution" TargetMode="External"/><Relationship Id="rId39" Type="http://schemas.openxmlformats.org/officeDocument/2006/relationships/hyperlink" Target="https://www.gs1us.org/resources/rosettanet/standards-library/pip-directory/2c-product-design-information" TargetMode="External"/><Relationship Id="rId109" Type="http://schemas.openxmlformats.org/officeDocument/2006/relationships/hyperlink" Target="https://www.gs1us.org/resources/rosettanet/standards-library/pip-directory/5d-ship-from-stock-and-debit" TargetMode="External"/><Relationship Id="rId34" Type="http://schemas.openxmlformats.org/officeDocument/2006/relationships/hyperlink" Target="https://www.gs1us.org/resources/rosettanet/standards-library/pip-directory/2c-product-design-information" TargetMode="External"/><Relationship Id="rId50" Type="http://schemas.openxmlformats.org/officeDocument/2006/relationships/hyperlink" Target="https://www.gs1us.org/resources/rosettanet/standards-library/pip-directory/3a-quotes-pricing-availability" TargetMode="External"/><Relationship Id="rId55" Type="http://schemas.openxmlformats.org/officeDocument/2006/relationships/hyperlink" Target="https://www.gs1us.org/resources/rosettanet/standards-library/pip-directory/3a-quotes-pricing-availability" TargetMode="External"/><Relationship Id="rId76" Type="http://schemas.openxmlformats.org/officeDocument/2006/relationships/hyperlink" Target="https://www.gs1us.org/resources/rosettanet/standards-library/pip-directory/3b-transportation-and-distribution" TargetMode="External"/><Relationship Id="rId97" Type="http://schemas.openxmlformats.org/officeDocument/2006/relationships/hyperlink" Target="https://www.gs1us.org/resources/rosettanet/standards-library/pip-directory/4b-c-d-e-inventory-and-reporting" TargetMode="External"/><Relationship Id="rId104" Type="http://schemas.openxmlformats.org/officeDocument/2006/relationships/hyperlink" Target="https://www.gs1us.org/resources/rosettanet/standards-library/pip-directory/5c-design-win-management" TargetMode="External"/><Relationship Id="rId120" Type="http://schemas.openxmlformats.org/officeDocument/2006/relationships/hyperlink" Target="https://www.gs1us.org/resources/rosettanet/standards-library/pip-directory/6-service-and-support" TargetMode="External"/><Relationship Id="rId125" Type="http://schemas.openxmlformats.org/officeDocument/2006/relationships/hyperlink" Target="https://www.gs1us.org/resources/rosettanet/standards-library/pip-directory/6-service-and-support" TargetMode="External"/><Relationship Id="rId7" Type="http://schemas.openxmlformats.org/officeDocument/2006/relationships/hyperlink" Target="https://www.gs1us.org/resources/rosettanet/standards-library/pip-directory/1-partner-product-and-service-review" TargetMode="External"/><Relationship Id="rId71" Type="http://schemas.openxmlformats.org/officeDocument/2006/relationships/hyperlink" Target="https://www.gs1us.org/resources/rosettanet/standards-library/pip-directory/3b-transportation-and-distribution" TargetMode="External"/><Relationship Id="rId92" Type="http://schemas.openxmlformats.org/officeDocument/2006/relationships/hyperlink" Target="https://www.gs1us.org/resources/rosettanet/standards-library/pip-directory/4a-collaborative-forcasting" TargetMode="External"/><Relationship Id="rId2" Type="http://schemas.openxmlformats.org/officeDocument/2006/relationships/hyperlink" Target="https://www.gs1us.org/resources/rosettanet/standards-library/pip-directory/0-rossettanaet-support" TargetMode="External"/><Relationship Id="rId29" Type="http://schemas.openxmlformats.org/officeDocument/2006/relationships/hyperlink" Target="https://www.gs1us.org/resources/rosettanet/standards-library/pip-directory/2c-product-design-information" TargetMode="External"/><Relationship Id="rId24" Type="http://schemas.openxmlformats.org/officeDocument/2006/relationships/hyperlink" Target="https://www.gs1us.org/resources/rosettanet/standards-library/pip-directory/2b-product-change-notification" TargetMode="External"/><Relationship Id="rId40" Type="http://schemas.openxmlformats.org/officeDocument/2006/relationships/hyperlink" Target="https://www.gs1us.org/resources/rosettanet/standards-library/pip-directory/2c-product-design-information" TargetMode="External"/><Relationship Id="rId45" Type="http://schemas.openxmlformats.org/officeDocument/2006/relationships/hyperlink" Target="https://www.gs1us.org/resources/rosettanet/standards-library/pip-directory/3a-purchase-orders" TargetMode="External"/><Relationship Id="rId66" Type="http://schemas.openxmlformats.org/officeDocument/2006/relationships/hyperlink" Target="https://www.gs1us.org/resources/rosettanet/standards-library/pip-directory/3b-transportation-and-distribution" TargetMode="External"/><Relationship Id="rId87" Type="http://schemas.openxmlformats.org/officeDocument/2006/relationships/hyperlink" Target="https://www.gs1us.org/resources/rosettanet/standards-library/pip-directory/4a-collaborative-forcasting" TargetMode="External"/><Relationship Id="rId110" Type="http://schemas.openxmlformats.org/officeDocument/2006/relationships/hyperlink" Target="https://www.gs1us.org/resources/rosettanet/standards-library/pip-directory/5d-ship-from-stock-and-debit" TargetMode="External"/><Relationship Id="rId115" Type="http://schemas.openxmlformats.org/officeDocument/2006/relationships/hyperlink" Target="https://www.gs1us.org/resources/rosettanet/standards-library/pip-directory/5d-ship-from-stock-and-debit" TargetMode="External"/><Relationship Id="rId131" Type="http://schemas.openxmlformats.org/officeDocument/2006/relationships/hyperlink" Target="https://www.gs1us.org/resources/rosettanet/standards-library/pip-directory/7-manufacturing" TargetMode="External"/><Relationship Id="rId61" Type="http://schemas.openxmlformats.org/officeDocument/2006/relationships/hyperlink" Target="https://www.gs1us.org/resources/rosettanet/standards-library/pip-directory/3a-purchase-orders" TargetMode="External"/><Relationship Id="rId82" Type="http://schemas.openxmlformats.org/officeDocument/2006/relationships/hyperlink" Target="https://www.gs1us.org/resources/rosettanet/standards-library/pip-directory/3c-returns-and-finance" TargetMode="External"/><Relationship Id="rId19" Type="http://schemas.openxmlformats.org/officeDocument/2006/relationships/hyperlink" Target="https://www.gs1us.org/resources/rosettanet/standards-library/pip-directory/2a-preperation-for-distribution" TargetMode="External"/><Relationship Id="rId14" Type="http://schemas.openxmlformats.org/officeDocument/2006/relationships/hyperlink" Target="https://www.gs1us.org/resources/rosettanet/standards-library/pip-directory/2a-preperation-for-distribution" TargetMode="External"/><Relationship Id="rId30" Type="http://schemas.openxmlformats.org/officeDocument/2006/relationships/hyperlink" Target="https://www.gs1us.org/resources/rosettanet/standards-library/pip-directory/2c-product-design-information" TargetMode="External"/><Relationship Id="rId35" Type="http://schemas.openxmlformats.org/officeDocument/2006/relationships/hyperlink" Target="https://www.gs1us.org/resources/rosettanet/standards-library/pip-directory/2c-product-design-information" TargetMode="External"/><Relationship Id="rId56" Type="http://schemas.openxmlformats.org/officeDocument/2006/relationships/hyperlink" Target="https://www.gs1us.org/resources/rosettanet/standards-library/pip-directory/3a-quotes-pricing-availability" TargetMode="External"/><Relationship Id="rId77" Type="http://schemas.openxmlformats.org/officeDocument/2006/relationships/hyperlink" Target="https://www.gs1us.org/resources/rosettanet/standards-library/pip-directory/3b-transportation-and-distribution" TargetMode="External"/><Relationship Id="rId100" Type="http://schemas.openxmlformats.org/officeDocument/2006/relationships/hyperlink" Target="https://www.gs1us.org/resources/rosettanet/standards-library/pip-directory/5c-design-win-management" TargetMode="External"/><Relationship Id="rId105" Type="http://schemas.openxmlformats.org/officeDocument/2006/relationships/hyperlink" Target="https://www.gs1us.org/resources/rosettanet/standards-library/pip-directory/5c-design-win-management" TargetMode="External"/><Relationship Id="rId126" Type="http://schemas.openxmlformats.org/officeDocument/2006/relationships/hyperlink" Target="https://www.gs1us.org/resources/rosettanet/standards-library/pip-directory/6-service-and-support" TargetMode="External"/><Relationship Id="rId8" Type="http://schemas.openxmlformats.org/officeDocument/2006/relationships/hyperlink" Target="https://www.gs1us.org/resources/rosettanet/standards-library/pip-directory/2a-preperation-for-distribution" TargetMode="External"/><Relationship Id="rId51" Type="http://schemas.openxmlformats.org/officeDocument/2006/relationships/hyperlink" Target="https://www.gs1us.org/resources/rosettanet/standards-library/pip-directory/3a-quotes-pricing-availability" TargetMode="External"/><Relationship Id="rId72" Type="http://schemas.openxmlformats.org/officeDocument/2006/relationships/hyperlink" Target="https://www.gs1us.org/resources/rosettanet/standards-library/pip-directory/3b-transportation-and-distribution" TargetMode="External"/><Relationship Id="rId93" Type="http://schemas.openxmlformats.org/officeDocument/2006/relationships/hyperlink" Target="https://www.gs1us.org/resources/rosettanet/standards-library/pip-directory/4b-c-d-e-inventory-and-reporting" TargetMode="External"/><Relationship Id="rId98" Type="http://schemas.openxmlformats.org/officeDocument/2006/relationships/hyperlink" Target="https://www.gs1us.org/resources/rosettanet/standards-library/pip-directory/4b-c-d-e-inventory-and-reporting" TargetMode="External"/><Relationship Id="rId121" Type="http://schemas.openxmlformats.org/officeDocument/2006/relationships/hyperlink" Target="https://www.gs1us.org/resources/rosettanet/standards-library/pip-directory/6-service-and-support" TargetMode="External"/><Relationship Id="rId3" Type="http://schemas.openxmlformats.org/officeDocument/2006/relationships/hyperlink" Target="https://www.gs1us.org/resources/rosettanet/standards-library/pip-directory/0-rossettanaet-support" TargetMode="External"/><Relationship Id="rId25" Type="http://schemas.openxmlformats.org/officeDocument/2006/relationships/hyperlink" Target="https://www.gs1us.org/resources/rosettanet/standards-library/pip-directory/2b-product-change-notification" TargetMode="External"/><Relationship Id="rId46" Type="http://schemas.openxmlformats.org/officeDocument/2006/relationships/hyperlink" Target="https://www.gs1us.org/resources/rosettanet/standards-library/pip-directory/3a-purchase-orders" TargetMode="External"/><Relationship Id="rId67" Type="http://schemas.openxmlformats.org/officeDocument/2006/relationships/hyperlink" Target="https://www.gs1us.org/resources/rosettanet/standards-library/pip-directory/3b-transportation-and-distribution" TargetMode="External"/><Relationship Id="rId116" Type="http://schemas.openxmlformats.org/officeDocument/2006/relationships/hyperlink" Target="https://www.gs1us.org/resources/rosettanet/standards-library/pip-directory/5d-ship-from-stock-and-debit" TargetMode="External"/><Relationship Id="rId20" Type="http://schemas.openxmlformats.org/officeDocument/2006/relationships/hyperlink" Target="https://www.gs1us.org/resources/rosettanet/standards-library/pip-directory/2a-preperation-for-distribution" TargetMode="External"/><Relationship Id="rId41" Type="http://schemas.openxmlformats.org/officeDocument/2006/relationships/hyperlink" Target="https://www.gs1us.org/resources/rosettanet/standards-library/pip-directory/3a-quotes-pricing-availability" TargetMode="External"/><Relationship Id="rId62" Type="http://schemas.openxmlformats.org/officeDocument/2006/relationships/hyperlink" Target="https://www.gs1us.org/resources/rosettanet/standards-library/pip-directory/3a-purchase-orders" TargetMode="External"/><Relationship Id="rId83" Type="http://schemas.openxmlformats.org/officeDocument/2006/relationships/hyperlink" Target="https://www.gs1us.org/resources/rosettanet/standards-library/pip-directory/3c-returns-and-finance" TargetMode="External"/><Relationship Id="rId88" Type="http://schemas.openxmlformats.org/officeDocument/2006/relationships/hyperlink" Target="https://www.gs1us.org/resources/rosettanet/standards-library/pip-directory/4a-collaborative-forcasting" TargetMode="External"/><Relationship Id="rId111" Type="http://schemas.openxmlformats.org/officeDocument/2006/relationships/hyperlink" Target="https://www.gs1us.org/resources/rosettanet/standards-library/pip-directory/5d-ship-from-stock-and-debit" TargetMode="External"/><Relationship Id="rId132" Type="http://schemas.openxmlformats.org/officeDocument/2006/relationships/hyperlink" Target="https://www.gs1us.org/resources/rosettanet/standards-library/pip-directory/7-manufacturing" TargetMode="External"/><Relationship Id="rId15" Type="http://schemas.openxmlformats.org/officeDocument/2006/relationships/hyperlink" Target="https://www.gs1us.org/resources/rosettanet/standards-library/pip-directory/2a-preperation-for-distribution" TargetMode="External"/><Relationship Id="rId36" Type="http://schemas.openxmlformats.org/officeDocument/2006/relationships/hyperlink" Target="https://www.gs1us.org/resources/rosettanet/standards-library/pip-directory/2c-product-design-information" TargetMode="External"/><Relationship Id="rId57" Type="http://schemas.openxmlformats.org/officeDocument/2006/relationships/hyperlink" Target="https://www.gs1us.org/resources/rosettanet/standards-library/pip-directory/3a-purchase-orders" TargetMode="External"/><Relationship Id="rId106" Type="http://schemas.openxmlformats.org/officeDocument/2006/relationships/hyperlink" Target="https://www.gs1us.org/resources/rosettanet/standards-library/pip-directory/5c-design-win-management" TargetMode="External"/><Relationship Id="rId127" Type="http://schemas.openxmlformats.org/officeDocument/2006/relationships/hyperlink" Target="https://www.gs1us.org/resources/rosettanet/standards-library/pip-directory/6-service-and-support" TargetMode="External"/><Relationship Id="rId10" Type="http://schemas.openxmlformats.org/officeDocument/2006/relationships/hyperlink" Target="https://www.gs1us.org/resources/rosettanet/standards-library/pip-directory/2a-preperation-for-distribution" TargetMode="External"/><Relationship Id="rId31" Type="http://schemas.openxmlformats.org/officeDocument/2006/relationships/hyperlink" Target="https://www.gs1us.org/resources/rosettanet/standards-library/pip-directory/2c-product-design-information" TargetMode="External"/><Relationship Id="rId52" Type="http://schemas.openxmlformats.org/officeDocument/2006/relationships/hyperlink" Target="https://www.gs1us.org/resources/rosettanet/standards-library/pip-directory/3a-purchase-orders" TargetMode="External"/><Relationship Id="rId73" Type="http://schemas.openxmlformats.org/officeDocument/2006/relationships/hyperlink" Target="https://www.gs1us.org/resources/rosettanet/standards-library/pip-directory/3b-transportation-and-distribution" TargetMode="External"/><Relationship Id="rId78" Type="http://schemas.openxmlformats.org/officeDocument/2006/relationships/hyperlink" Target="https://www.gs1us.org/resources/rosettanet/standards-library/pip-directory/3c-returns-and-finance" TargetMode="External"/><Relationship Id="rId94" Type="http://schemas.openxmlformats.org/officeDocument/2006/relationships/hyperlink" Target="https://www.gs1us.org/resources/rosettanet/standards-library/pip-directory/4b-c-d-e-inventory-and-reporting" TargetMode="External"/><Relationship Id="rId99" Type="http://schemas.openxmlformats.org/officeDocument/2006/relationships/hyperlink" Target="https://www.gs1us.org/resources/rosettanet/standards-library/pip-directory/5c-design-win-management" TargetMode="External"/><Relationship Id="rId101" Type="http://schemas.openxmlformats.org/officeDocument/2006/relationships/hyperlink" Target="https://www.gs1us.org/resources/rosettanet/standards-library/pip-directory/5c-design-win-management" TargetMode="External"/><Relationship Id="rId122" Type="http://schemas.openxmlformats.org/officeDocument/2006/relationships/hyperlink" Target="https://www.gs1us.org/resources/rosettanet/standards-library/pip-directory/6-service-and-support" TargetMode="External"/><Relationship Id="rId4" Type="http://schemas.openxmlformats.org/officeDocument/2006/relationships/hyperlink" Target="https://www.gs1us.org/resources/rosettanet/standards-library/pip-directory/0-rossettanaet-support" TargetMode="External"/><Relationship Id="rId9" Type="http://schemas.openxmlformats.org/officeDocument/2006/relationships/hyperlink" Target="https://www.gs1us.org/resources/rosettanet/standards-library/pip-directory/2a-preperation-for-distribution" TargetMode="External"/><Relationship Id="rId26" Type="http://schemas.openxmlformats.org/officeDocument/2006/relationships/hyperlink" Target="https://www.gs1us.org/resources/rosettanet/standards-library/pip-directory/2b-product-change-notification" TargetMode="External"/><Relationship Id="rId47" Type="http://schemas.openxmlformats.org/officeDocument/2006/relationships/hyperlink" Target="https://www.gs1us.org/resources/rosettanet/standards-library/pip-directory/3a-purchase-orders" TargetMode="External"/><Relationship Id="rId68" Type="http://schemas.openxmlformats.org/officeDocument/2006/relationships/hyperlink" Target="https://www.gs1us.org/resources/rosettanet/standards-library/pip-directory/3b-transportation-and-distribution" TargetMode="External"/><Relationship Id="rId89" Type="http://schemas.openxmlformats.org/officeDocument/2006/relationships/hyperlink" Target="https://www.gs1us.org/resources/rosettanet/standards-library/pip-directory/4a-collaborative-forcasting" TargetMode="External"/><Relationship Id="rId112" Type="http://schemas.openxmlformats.org/officeDocument/2006/relationships/hyperlink" Target="https://www.gs1us.org/resources/rosettanet/standards-library/pip-directory/5d-ship-from-stock-and-debit" TargetMode="External"/><Relationship Id="rId133" Type="http://schemas.openxmlformats.org/officeDocument/2006/relationships/hyperlink" Target="https://www.gs1us.org/resources/rosettanet/standards-library/pip-directory/7-manufactu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D64"/>
  <sheetViews>
    <sheetView workbookViewId="0">
      <pane ySplit="1" topLeftCell="A2" activePane="bottomLeft" state="frozenSplit"/>
      <selection pane="bottomLeft" activeCell="A2" sqref="A2"/>
    </sheetView>
  </sheetViews>
  <sheetFormatPr defaultRowHeight="15" x14ac:dyDescent="0.25"/>
  <cols>
    <col min="1" max="1" width="10.7109375" style="172" bestFit="1" customWidth="1"/>
    <col min="2" max="2" width="12.42578125" style="120" bestFit="1" customWidth="1"/>
    <col min="3" max="3" width="24.5703125" style="50" bestFit="1" customWidth="1"/>
    <col min="4" max="4" width="139.5703125" style="25" bestFit="1" customWidth="1"/>
  </cols>
  <sheetData>
    <row r="1" spans="1:4" s="127" customFormat="1" x14ac:dyDescent="0.25">
      <c r="A1" s="149" t="s">
        <v>343</v>
      </c>
      <c r="B1" s="125" t="s">
        <v>344</v>
      </c>
      <c r="C1" s="126" t="s">
        <v>69</v>
      </c>
      <c r="D1" s="142" t="s">
        <v>346</v>
      </c>
    </row>
    <row r="2" spans="1:4" x14ac:dyDescent="0.25">
      <c r="A2" s="152">
        <v>43154</v>
      </c>
      <c r="B2" s="119">
        <v>1</v>
      </c>
      <c r="C2" s="55" t="s">
        <v>347</v>
      </c>
      <c r="D2" s="26" t="s">
        <v>569</v>
      </c>
    </row>
    <row r="3" spans="1:4" x14ac:dyDescent="0.25">
      <c r="A3" s="152">
        <v>43208</v>
      </c>
      <c r="B3" s="54">
        <v>2</v>
      </c>
      <c r="C3" s="55" t="s">
        <v>347</v>
      </c>
      <c r="D3" s="26" t="s">
        <v>580</v>
      </c>
    </row>
    <row r="4" spans="1:4" x14ac:dyDescent="0.25">
      <c r="A4" s="152">
        <v>43210</v>
      </c>
      <c r="B4" s="119">
        <v>3</v>
      </c>
      <c r="C4" s="55" t="s">
        <v>347</v>
      </c>
      <c r="D4" s="26" t="s">
        <v>582</v>
      </c>
    </row>
    <row r="5" spans="1:4" x14ac:dyDescent="0.25">
      <c r="A5" s="152">
        <v>43269</v>
      </c>
      <c r="B5" s="119">
        <v>4</v>
      </c>
      <c r="C5" s="55" t="s">
        <v>347</v>
      </c>
      <c r="D5" s="26" t="s">
        <v>584</v>
      </c>
    </row>
    <row r="6" spans="1:4" x14ac:dyDescent="0.25">
      <c r="A6" s="152">
        <v>43280</v>
      </c>
      <c r="B6" s="119">
        <v>5</v>
      </c>
      <c r="C6" s="55" t="s">
        <v>585</v>
      </c>
      <c r="D6" s="26" t="s">
        <v>586</v>
      </c>
    </row>
    <row r="7" spans="1:4" x14ac:dyDescent="0.25">
      <c r="A7" s="152">
        <v>43333</v>
      </c>
      <c r="B7" s="119">
        <v>6</v>
      </c>
      <c r="C7" s="55" t="s">
        <v>347</v>
      </c>
      <c r="D7" s="26" t="s">
        <v>606</v>
      </c>
    </row>
    <row r="8" spans="1:4" x14ac:dyDescent="0.25">
      <c r="A8" s="152">
        <v>43339</v>
      </c>
      <c r="B8" s="119">
        <v>7</v>
      </c>
      <c r="C8" s="55" t="s">
        <v>347</v>
      </c>
      <c r="D8" s="26" t="s">
        <v>607</v>
      </c>
    </row>
    <row r="9" spans="1:4" ht="60" x14ac:dyDescent="0.25">
      <c r="A9" s="152">
        <v>43357</v>
      </c>
      <c r="B9" s="119">
        <v>8</v>
      </c>
      <c r="C9" s="55" t="s">
        <v>347</v>
      </c>
      <c r="D9" s="26" t="s">
        <v>608</v>
      </c>
    </row>
    <row r="10" spans="1:4" ht="30" x14ac:dyDescent="0.25">
      <c r="A10" s="152">
        <v>43418</v>
      </c>
      <c r="B10" s="119">
        <v>9</v>
      </c>
      <c r="C10" s="55" t="s">
        <v>347</v>
      </c>
      <c r="D10" s="26" t="s">
        <v>609</v>
      </c>
    </row>
    <row r="11" spans="1:4" ht="45" x14ac:dyDescent="0.25">
      <c r="A11" s="152">
        <v>43446</v>
      </c>
      <c r="B11" s="119">
        <v>10</v>
      </c>
      <c r="C11" s="55" t="s">
        <v>347</v>
      </c>
      <c r="D11" s="26" t="s">
        <v>614</v>
      </c>
    </row>
    <row r="12" spans="1:4" ht="30" x14ac:dyDescent="0.25">
      <c r="A12" s="152">
        <v>43791</v>
      </c>
      <c r="B12" s="119">
        <v>11</v>
      </c>
      <c r="C12" s="55" t="s">
        <v>347</v>
      </c>
      <c r="D12" s="26" t="s">
        <v>620</v>
      </c>
    </row>
    <row r="13" spans="1:4" x14ac:dyDescent="0.25">
      <c r="A13" s="152">
        <v>43816</v>
      </c>
      <c r="B13" s="119">
        <v>12</v>
      </c>
      <c r="C13" s="55" t="s">
        <v>347</v>
      </c>
      <c r="D13" s="26" t="s">
        <v>623</v>
      </c>
    </row>
    <row r="14" spans="1:4" x14ac:dyDescent="0.25">
      <c r="A14" s="152">
        <v>43971</v>
      </c>
      <c r="B14" s="119">
        <v>13</v>
      </c>
      <c r="C14" s="55" t="s">
        <v>347</v>
      </c>
      <c r="D14" s="26" t="s">
        <v>639</v>
      </c>
    </row>
    <row r="15" spans="1:4" ht="75" x14ac:dyDescent="0.25">
      <c r="A15" s="152">
        <v>43979</v>
      </c>
      <c r="B15" s="119">
        <v>13</v>
      </c>
      <c r="C15" s="55" t="s">
        <v>585</v>
      </c>
      <c r="D15" s="26" t="s">
        <v>652</v>
      </c>
    </row>
    <row r="16" spans="1:4" x14ac:dyDescent="0.25">
      <c r="A16" s="152">
        <v>44103</v>
      </c>
      <c r="B16" s="119">
        <v>14</v>
      </c>
      <c r="C16" s="55" t="s">
        <v>347</v>
      </c>
      <c r="D16" s="26" t="s">
        <v>653</v>
      </c>
    </row>
    <row r="17" spans="1:4" x14ac:dyDescent="0.25">
      <c r="A17" s="152">
        <v>44105</v>
      </c>
      <c r="B17" s="119">
        <v>15</v>
      </c>
      <c r="C17" s="55" t="s">
        <v>347</v>
      </c>
      <c r="D17" s="26" t="s">
        <v>679</v>
      </c>
    </row>
    <row r="18" spans="1:4" x14ac:dyDescent="0.25">
      <c r="A18" s="152">
        <v>44132</v>
      </c>
      <c r="B18" s="119">
        <v>16</v>
      </c>
      <c r="C18" s="55" t="s">
        <v>347</v>
      </c>
      <c r="D18" s="26" t="s">
        <v>680</v>
      </c>
    </row>
    <row r="19" spans="1:4" x14ac:dyDescent="0.25">
      <c r="A19" s="152">
        <v>44222</v>
      </c>
      <c r="B19" s="119">
        <v>18</v>
      </c>
      <c r="C19" s="55" t="s">
        <v>683</v>
      </c>
      <c r="D19" s="26" t="s">
        <v>684</v>
      </c>
    </row>
    <row r="20" spans="1:4" ht="45" x14ac:dyDescent="0.25">
      <c r="A20" s="152">
        <v>44292</v>
      </c>
      <c r="B20" s="119">
        <v>19</v>
      </c>
      <c r="C20" s="55" t="s">
        <v>347</v>
      </c>
      <c r="D20" s="26" t="s">
        <v>739</v>
      </c>
    </row>
    <row r="21" spans="1:4" ht="30" x14ac:dyDescent="0.25">
      <c r="A21" s="152">
        <v>44321</v>
      </c>
      <c r="B21" s="119">
        <v>20</v>
      </c>
      <c r="C21" s="55" t="s">
        <v>347</v>
      </c>
      <c r="D21" s="26" t="s">
        <v>743</v>
      </c>
    </row>
    <row r="22" spans="1:4" x14ac:dyDescent="0.25">
      <c r="A22" s="152">
        <v>44334</v>
      </c>
      <c r="B22" s="119">
        <v>21</v>
      </c>
      <c r="C22" s="55" t="s">
        <v>347</v>
      </c>
      <c r="D22" s="26" t="s">
        <v>747</v>
      </c>
    </row>
    <row r="23" spans="1:4" ht="30" x14ac:dyDescent="0.25">
      <c r="A23" s="152">
        <v>44347</v>
      </c>
      <c r="B23" s="119">
        <v>22</v>
      </c>
      <c r="C23" s="55" t="s">
        <v>347</v>
      </c>
      <c r="D23" s="26" t="s">
        <v>748</v>
      </c>
    </row>
    <row r="24" spans="1:4" x14ac:dyDescent="0.25">
      <c r="A24" s="152">
        <v>44368</v>
      </c>
      <c r="B24" s="119">
        <v>23</v>
      </c>
      <c r="C24" s="55" t="s">
        <v>749</v>
      </c>
      <c r="D24" s="26" t="s">
        <v>750</v>
      </c>
    </row>
    <row r="25" spans="1:4" ht="30" x14ac:dyDescent="0.25">
      <c r="A25" s="152">
        <v>44410</v>
      </c>
      <c r="B25" s="119">
        <v>24</v>
      </c>
      <c r="C25" s="55" t="s">
        <v>347</v>
      </c>
      <c r="D25" s="26" t="s">
        <v>757</v>
      </c>
    </row>
    <row r="26" spans="1:4" x14ac:dyDescent="0.25">
      <c r="A26" s="152">
        <v>44461</v>
      </c>
      <c r="B26" s="119">
        <v>25</v>
      </c>
      <c r="C26" s="55" t="s">
        <v>347</v>
      </c>
      <c r="D26" s="26" t="s">
        <v>760</v>
      </c>
    </row>
    <row r="27" spans="1:4" x14ac:dyDescent="0.25">
      <c r="A27" s="152">
        <v>44508</v>
      </c>
      <c r="B27" s="119">
        <v>26</v>
      </c>
      <c r="C27" s="55" t="s">
        <v>347</v>
      </c>
      <c r="D27" s="26" t="s">
        <v>785</v>
      </c>
    </row>
    <row r="28" spans="1:4" x14ac:dyDescent="0.25">
      <c r="A28" s="152">
        <v>44560</v>
      </c>
      <c r="B28" s="119">
        <v>27</v>
      </c>
      <c r="C28" s="55" t="s">
        <v>347</v>
      </c>
      <c r="D28" s="26" t="s">
        <v>790</v>
      </c>
    </row>
    <row r="29" spans="1:4" ht="45" x14ac:dyDescent="0.25">
      <c r="A29" s="152">
        <v>44648</v>
      </c>
      <c r="B29" s="119">
        <v>28</v>
      </c>
      <c r="C29" s="55" t="s">
        <v>347</v>
      </c>
      <c r="D29" s="26" t="s">
        <v>797</v>
      </c>
    </row>
    <row r="30" spans="1:4" x14ac:dyDescent="0.25">
      <c r="A30" s="152">
        <v>44652</v>
      </c>
      <c r="B30" s="150">
        <v>29</v>
      </c>
      <c r="C30" s="145" t="s">
        <v>347</v>
      </c>
      <c r="D30" s="151" t="s">
        <v>798</v>
      </c>
    </row>
    <row r="31" spans="1:4" x14ac:dyDescent="0.25">
      <c r="A31" s="152">
        <v>44721</v>
      </c>
      <c r="B31" s="119">
        <v>30</v>
      </c>
      <c r="C31" s="55" t="s">
        <v>347</v>
      </c>
      <c r="D31" s="26" t="s">
        <v>812</v>
      </c>
    </row>
    <row r="32" spans="1:4" x14ac:dyDescent="0.25">
      <c r="A32" s="152">
        <v>45016</v>
      </c>
      <c r="B32" s="119">
        <v>31</v>
      </c>
      <c r="C32" s="55" t="s">
        <v>347</v>
      </c>
      <c r="D32" s="26" t="s">
        <v>813</v>
      </c>
    </row>
    <row r="33" spans="1:4" x14ac:dyDescent="0.25">
      <c r="A33" s="152">
        <v>45117</v>
      </c>
      <c r="B33" s="119">
        <v>32</v>
      </c>
      <c r="C33" s="55" t="s">
        <v>585</v>
      </c>
      <c r="D33" s="26" t="s">
        <v>819</v>
      </c>
    </row>
    <row r="34" spans="1:4" x14ac:dyDescent="0.25">
      <c r="A34" s="152">
        <v>45201</v>
      </c>
      <c r="B34" s="119">
        <v>33</v>
      </c>
      <c r="C34" s="55" t="s">
        <v>820</v>
      </c>
      <c r="D34" s="26" t="s">
        <v>821</v>
      </c>
    </row>
    <row r="35" spans="1:4" x14ac:dyDescent="0.25">
      <c r="A35" s="152">
        <v>45254</v>
      </c>
      <c r="B35" s="119">
        <v>34</v>
      </c>
      <c r="C35" s="55" t="s">
        <v>1172</v>
      </c>
      <c r="D35" s="26" t="s">
        <v>1427</v>
      </c>
    </row>
    <row r="36" spans="1:4" x14ac:dyDescent="0.25">
      <c r="A36" s="152">
        <v>45264</v>
      </c>
      <c r="B36" s="119">
        <v>35</v>
      </c>
      <c r="C36" s="55" t="s">
        <v>1172</v>
      </c>
      <c r="D36" s="26" t="s">
        <v>1433</v>
      </c>
    </row>
    <row r="37" spans="1:4" x14ac:dyDescent="0.25">
      <c r="A37" s="152">
        <v>45282</v>
      </c>
      <c r="B37" s="119">
        <v>36</v>
      </c>
      <c r="C37" s="55" t="s">
        <v>820</v>
      </c>
      <c r="D37" s="26" t="s">
        <v>1434</v>
      </c>
    </row>
    <row r="38" spans="1:4" x14ac:dyDescent="0.25">
      <c r="A38" s="152">
        <v>45288</v>
      </c>
      <c r="B38" s="119">
        <v>37</v>
      </c>
      <c r="C38" s="55" t="s">
        <v>585</v>
      </c>
      <c r="D38" s="26" t="s">
        <v>1464</v>
      </c>
    </row>
    <row r="39" spans="1:4" x14ac:dyDescent="0.25">
      <c r="A39" s="152">
        <v>45293</v>
      </c>
      <c r="B39" s="119">
        <v>38</v>
      </c>
      <c r="C39" s="55" t="s">
        <v>820</v>
      </c>
      <c r="D39" s="26" t="s">
        <v>1465</v>
      </c>
    </row>
    <row r="40" spans="1:4" x14ac:dyDescent="0.25">
      <c r="A40" s="152">
        <v>45306</v>
      </c>
      <c r="B40" s="119">
        <v>39</v>
      </c>
      <c r="C40" s="55" t="s">
        <v>820</v>
      </c>
      <c r="D40" s="26" t="s">
        <v>1467</v>
      </c>
    </row>
    <row r="41" spans="1:4" x14ac:dyDescent="0.25">
      <c r="A41" s="152">
        <v>45310</v>
      </c>
      <c r="B41" s="119">
        <v>40</v>
      </c>
      <c r="C41" s="55" t="s">
        <v>820</v>
      </c>
      <c r="D41" s="26" t="s">
        <v>1471</v>
      </c>
    </row>
    <row r="42" spans="1:4" x14ac:dyDescent="0.25">
      <c r="A42" s="152">
        <v>45317</v>
      </c>
      <c r="B42" s="119">
        <v>41</v>
      </c>
      <c r="C42" s="55" t="s">
        <v>820</v>
      </c>
      <c r="D42" s="26" t="s">
        <v>1472</v>
      </c>
    </row>
    <row r="43" spans="1:4" ht="105" x14ac:dyDescent="0.25">
      <c r="A43" s="152">
        <v>45329</v>
      </c>
      <c r="B43" s="119">
        <v>42</v>
      </c>
      <c r="C43" s="55" t="s">
        <v>347</v>
      </c>
      <c r="D43" s="26" t="s">
        <v>1503</v>
      </c>
    </row>
    <row r="44" spans="1:4" ht="60" x14ac:dyDescent="0.25">
      <c r="A44" s="152">
        <v>45350</v>
      </c>
      <c r="B44" s="119">
        <v>43</v>
      </c>
      <c r="C44" s="55" t="s">
        <v>347</v>
      </c>
      <c r="D44" s="26" t="s">
        <v>1526</v>
      </c>
    </row>
    <row r="45" spans="1:4" x14ac:dyDescent="0.25">
      <c r="A45" s="152">
        <v>45355</v>
      </c>
      <c r="B45" s="119">
        <v>44</v>
      </c>
      <c r="C45" s="55" t="s">
        <v>347</v>
      </c>
      <c r="D45" s="26" t="s">
        <v>1546</v>
      </c>
    </row>
    <row r="46" spans="1:4" ht="30" x14ac:dyDescent="0.25">
      <c r="A46" s="152">
        <v>45371</v>
      </c>
      <c r="B46" s="119">
        <v>45</v>
      </c>
      <c r="C46" s="55" t="s">
        <v>820</v>
      </c>
      <c r="D46" s="26" t="s">
        <v>1547</v>
      </c>
    </row>
    <row r="47" spans="1:4" ht="90" x14ac:dyDescent="0.25">
      <c r="A47" s="152">
        <v>45400</v>
      </c>
      <c r="B47" s="119">
        <v>46</v>
      </c>
      <c r="C47" s="55" t="s">
        <v>347</v>
      </c>
      <c r="D47" s="174" t="s">
        <v>1560</v>
      </c>
    </row>
    <row r="48" spans="1:4" ht="30" x14ac:dyDescent="0.25">
      <c r="A48" s="152">
        <v>45442</v>
      </c>
      <c r="B48" s="119">
        <v>47</v>
      </c>
      <c r="C48" s="55" t="s">
        <v>820</v>
      </c>
      <c r="D48" s="174" t="s">
        <v>1570</v>
      </c>
    </row>
    <row r="49" spans="1:4" x14ac:dyDescent="0.25">
      <c r="A49" s="152">
        <v>45502</v>
      </c>
      <c r="B49" s="119">
        <v>48</v>
      </c>
      <c r="C49" s="55" t="s">
        <v>585</v>
      </c>
      <c r="D49" s="174" t="s">
        <v>1573</v>
      </c>
    </row>
    <row r="50" spans="1:4" ht="30" x14ac:dyDescent="0.25">
      <c r="A50" s="152">
        <v>45512</v>
      </c>
      <c r="B50" s="119">
        <v>49</v>
      </c>
      <c r="C50" s="55" t="s">
        <v>347</v>
      </c>
      <c r="D50" s="26" t="s">
        <v>1580</v>
      </c>
    </row>
    <row r="51" spans="1:4" x14ac:dyDescent="0.25">
      <c r="A51" s="152">
        <v>45523</v>
      </c>
      <c r="B51" s="119">
        <v>50</v>
      </c>
      <c r="C51" s="55" t="s">
        <v>347</v>
      </c>
      <c r="D51" s="26" t="s">
        <v>1584</v>
      </c>
    </row>
    <row r="52" spans="1:4" x14ac:dyDescent="0.25">
      <c r="A52" s="152">
        <v>45533</v>
      </c>
      <c r="B52" s="119">
        <v>51</v>
      </c>
      <c r="C52" s="55" t="s">
        <v>347</v>
      </c>
      <c r="D52" s="26" t="s">
        <v>1587</v>
      </c>
    </row>
    <row r="53" spans="1:4" ht="135" x14ac:dyDescent="0.25">
      <c r="A53" s="152">
        <v>45712</v>
      </c>
      <c r="B53" s="119">
        <v>52</v>
      </c>
      <c r="C53" s="55" t="s">
        <v>347</v>
      </c>
      <c r="D53" s="56" t="s">
        <v>1797</v>
      </c>
    </row>
    <row r="54" spans="1:4" ht="75" x14ac:dyDescent="0.25">
      <c r="A54" s="152">
        <v>45736</v>
      </c>
      <c r="B54" s="119">
        <v>53</v>
      </c>
      <c r="C54" s="55" t="s">
        <v>347</v>
      </c>
      <c r="D54" s="26" t="s">
        <v>1804</v>
      </c>
    </row>
    <row r="55" spans="1:4" ht="105" x14ac:dyDescent="0.25">
      <c r="A55" s="152">
        <v>45762</v>
      </c>
      <c r="B55" s="119">
        <v>54</v>
      </c>
      <c r="C55" s="55" t="s">
        <v>347</v>
      </c>
      <c r="D55" s="26" t="s">
        <v>1808</v>
      </c>
    </row>
    <row r="56" spans="1:4" ht="60" x14ac:dyDescent="0.25">
      <c r="A56" s="152">
        <v>45904</v>
      </c>
      <c r="B56" s="119">
        <v>55</v>
      </c>
      <c r="C56" s="55" t="s">
        <v>347</v>
      </c>
      <c r="D56" s="26" t="s">
        <v>1815</v>
      </c>
    </row>
    <row r="57" spans="1:4" x14ac:dyDescent="0.25">
      <c r="A57" s="152">
        <v>45975</v>
      </c>
      <c r="B57" s="119">
        <v>56</v>
      </c>
      <c r="C57" s="55" t="s">
        <v>820</v>
      </c>
      <c r="D57" s="26" t="s">
        <v>1818</v>
      </c>
    </row>
    <row r="58" spans="1:4" x14ac:dyDescent="0.25">
      <c r="A58" s="152">
        <v>46013</v>
      </c>
      <c r="B58" s="119">
        <v>57</v>
      </c>
      <c r="C58" s="55" t="s">
        <v>749</v>
      </c>
      <c r="D58" s="26" t="s">
        <v>1820</v>
      </c>
    </row>
    <row r="59" spans="1:4" x14ac:dyDescent="0.25">
      <c r="A59" s="152">
        <v>46021</v>
      </c>
      <c r="B59" s="119">
        <v>58</v>
      </c>
      <c r="C59" s="55" t="s">
        <v>1821</v>
      </c>
      <c r="D59" s="26" t="s">
        <v>1822</v>
      </c>
    </row>
    <row r="60" spans="1:4" ht="105" x14ac:dyDescent="0.25">
      <c r="A60" s="152">
        <v>46076</v>
      </c>
      <c r="B60" s="119">
        <v>59</v>
      </c>
      <c r="C60" s="55" t="s">
        <v>347</v>
      </c>
      <c r="D60" s="26" t="s">
        <v>1832</v>
      </c>
    </row>
    <row r="61" spans="1:4" ht="60" x14ac:dyDescent="0.25">
      <c r="A61" s="152">
        <v>46094</v>
      </c>
      <c r="B61" s="119">
        <v>60</v>
      </c>
      <c r="C61" s="55" t="s">
        <v>347</v>
      </c>
      <c r="D61" s="26" t="s">
        <v>1837</v>
      </c>
    </row>
    <row r="62" spans="1:4" ht="45" x14ac:dyDescent="0.25">
      <c r="A62" s="152">
        <v>46163</v>
      </c>
      <c r="B62" s="119">
        <v>61</v>
      </c>
      <c r="C62" s="55" t="s">
        <v>347</v>
      </c>
      <c r="D62" s="26" t="s">
        <v>1840</v>
      </c>
    </row>
    <row r="63" spans="1:4" ht="30" x14ac:dyDescent="0.25">
      <c r="A63" s="152">
        <v>46191</v>
      </c>
      <c r="B63" s="119">
        <v>62</v>
      </c>
      <c r="C63" s="55" t="s">
        <v>347</v>
      </c>
      <c r="D63" s="26" t="s">
        <v>1843</v>
      </c>
    </row>
    <row r="64" spans="1:4" x14ac:dyDescent="0.25">
      <c r="A64" s="152">
        <v>46197</v>
      </c>
      <c r="B64" s="119">
        <v>63</v>
      </c>
      <c r="C64" s="55" t="s">
        <v>347</v>
      </c>
      <c r="D64" s="26" t="s">
        <v>1844</v>
      </c>
    </row>
  </sheetData>
  <autoFilter ref="A1:D21" xr:uid="{00000000-0009-0000-0000-000000000000}"/>
  <pageMargins left="0.7" right="0.7" top="0.75" bottom="0.75" header="0.3" footer="0.3"/>
  <headerFooter>
    <oddFooter>&amp;C_x000D_&amp;1#&amp;"Calibri"&amp;10&amp;K000000 DSV internal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A1:E37"/>
  <sheetViews>
    <sheetView workbookViewId="0">
      <selection activeCell="B9" sqref="B9"/>
    </sheetView>
  </sheetViews>
  <sheetFormatPr defaultRowHeight="15" x14ac:dyDescent="0.25"/>
  <cols>
    <col min="1" max="1" width="26.85546875" style="8" bestFit="1" customWidth="1"/>
    <col min="2" max="2" width="81.5703125" style="32" customWidth="1"/>
  </cols>
  <sheetData>
    <row r="1" spans="1:5" x14ac:dyDescent="0.25">
      <c r="A1" s="76" t="s">
        <v>348</v>
      </c>
      <c r="B1" s="77" t="s">
        <v>345</v>
      </c>
    </row>
    <row r="2" spans="1:5" ht="60" x14ac:dyDescent="0.25">
      <c r="A2" s="29" t="s">
        <v>349</v>
      </c>
      <c r="B2" s="30" t="s">
        <v>364</v>
      </c>
    </row>
    <row r="3" spans="1:5" x14ac:dyDescent="0.25">
      <c r="A3" s="29"/>
      <c r="B3" s="30"/>
    </row>
    <row r="4" spans="1:5" ht="60" x14ac:dyDescent="0.25">
      <c r="A4" s="29" t="s">
        <v>349</v>
      </c>
      <c r="B4" s="30" t="s">
        <v>365</v>
      </c>
      <c r="D4" s="46" t="s">
        <v>351</v>
      </c>
      <c r="E4" s="60" t="s">
        <v>350</v>
      </c>
    </row>
    <row r="5" spans="1:5" x14ac:dyDescent="0.25">
      <c r="A5" s="29"/>
      <c r="B5" s="30"/>
    </row>
    <row r="6" spans="1:5" ht="60" x14ac:dyDescent="0.25">
      <c r="A6" s="29" t="s">
        <v>352</v>
      </c>
      <c r="B6" s="30" t="s">
        <v>366</v>
      </c>
    </row>
    <row r="7" spans="1:5" x14ac:dyDescent="0.25">
      <c r="A7" s="29"/>
      <c r="B7" s="30"/>
    </row>
    <row r="8" spans="1:5" ht="30" x14ac:dyDescent="0.25">
      <c r="A8" s="29" t="s">
        <v>353</v>
      </c>
      <c r="B8" s="30" t="s">
        <v>354</v>
      </c>
    </row>
    <row r="9" spans="1:5" ht="105" x14ac:dyDescent="0.25">
      <c r="A9" s="29" t="s">
        <v>1798</v>
      </c>
      <c r="B9" s="30" t="s">
        <v>1799</v>
      </c>
    </row>
    <row r="10" spans="1:5" x14ac:dyDescent="0.25">
      <c r="A10" s="29"/>
      <c r="B10" s="30"/>
    </row>
    <row r="11" spans="1:5" x14ac:dyDescent="0.25">
      <c r="A11" s="29" t="s">
        <v>383</v>
      </c>
      <c r="B11" s="30" t="s">
        <v>587</v>
      </c>
    </row>
    <row r="12" spans="1:5" x14ac:dyDescent="0.25">
      <c r="A12" s="29"/>
      <c r="B12" s="30"/>
    </row>
    <row r="13" spans="1:5" ht="30" x14ac:dyDescent="0.25">
      <c r="A13" s="29" t="s">
        <v>578</v>
      </c>
      <c r="B13" s="30" t="s">
        <v>579</v>
      </c>
    </row>
    <row r="14" spans="1:5" x14ac:dyDescent="0.25">
      <c r="A14" s="29"/>
      <c r="B14" s="30"/>
    </row>
    <row r="15" spans="1:5" x14ac:dyDescent="0.25">
      <c r="A15" s="29"/>
      <c r="B15" s="30"/>
    </row>
    <row r="16" spans="1:5" x14ac:dyDescent="0.25">
      <c r="A16" s="29"/>
      <c r="B16" s="30"/>
    </row>
    <row r="17" spans="1:2" x14ac:dyDescent="0.25">
      <c r="A17" s="29"/>
      <c r="B17" s="30"/>
    </row>
    <row r="18" spans="1:2" x14ac:dyDescent="0.25">
      <c r="A18" s="29"/>
      <c r="B18" s="30"/>
    </row>
    <row r="19" spans="1:2" x14ac:dyDescent="0.25">
      <c r="A19" s="29"/>
      <c r="B19" s="30"/>
    </row>
    <row r="20" spans="1:2" x14ac:dyDescent="0.25">
      <c r="A20" s="29"/>
      <c r="B20" s="30"/>
    </row>
    <row r="21" spans="1:2" x14ac:dyDescent="0.25">
      <c r="A21" s="29"/>
      <c r="B21" s="30"/>
    </row>
    <row r="22" spans="1:2" x14ac:dyDescent="0.25">
      <c r="A22" s="29"/>
      <c r="B22" s="30"/>
    </row>
    <row r="23" spans="1:2" x14ac:dyDescent="0.25">
      <c r="A23" s="29"/>
      <c r="B23" s="30"/>
    </row>
    <row r="24" spans="1:2" x14ac:dyDescent="0.25">
      <c r="A24" s="29"/>
      <c r="B24" s="30"/>
    </row>
    <row r="25" spans="1:2" x14ac:dyDescent="0.25">
      <c r="A25" s="29"/>
      <c r="B25" s="30"/>
    </row>
    <row r="26" spans="1:2" x14ac:dyDescent="0.25">
      <c r="A26" s="29"/>
      <c r="B26" s="30"/>
    </row>
    <row r="27" spans="1:2" x14ac:dyDescent="0.25">
      <c r="A27" s="29"/>
      <c r="B27" s="30"/>
    </row>
    <row r="28" spans="1:2" x14ac:dyDescent="0.25">
      <c r="A28" s="29"/>
      <c r="B28" s="30"/>
    </row>
    <row r="29" spans="1:2" x14ac:dyDescent="0.25">
      <c r="A29" s="29"/>
      <c r="B29" s="30"/>
    </row>
    <row r="30" spans="1:2" x14ac:dyDescent="0.25">
      <c r="A30" s="29"/>
      <c r="B30" s="30"/>
    </row>
    <row r="31" spans="1:2" x14ac:dyDescent="0.25">
      <c r="A31" s="29"/>
      <c r="B31" s="30"/>
    </row>
    <row r="32" spans="1:2" x14ac:dyDescent="0.25">
      <c r="A32" s="29"/>
      <c r="B32" s="30"/>
    </row>
    <row r="33" spans="1:2" x14ac:dyDescent="0.25">
      <c r="A33" s="29"/>
      <c r="B33" s="30"/>
    </row>
    <row r="34" spans="1:2" x14ac:dyDescent="0.25">
      <c r="A34" s="29"/>
      <c r="B34" s="30"/>
    </row>
    <row r="35" spans="1:2" x14ac:dyDescent="0.25">
      <c r="A35" s="29"/>
      <c r="B35" s="30"/>
    </row>
    <row r="36" spans="1:2" x14ac:dyDescent="0.25">
      <c r="A36" s="29"/>
      <c r="B36" s="30"/>
    </row>
    <row r="37" spans="1:2" x14ac:dyDescent="0.25">
      <c r="A37" s="29"/>
      <c r="B37" s="30"/>
    </row>
  </sheetData>
  <pageMargins left="0.7" right="0.7" top="0.75" bottom="0.75" header="0.3" footer="0.3"/>
  <headerFooter>
    <oddFooter>&amp;C_x000D_&amp;1#&amp;"Calibri"&amp;10&amp;K000000 DSV 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D13"/>
  <sheetViews>
    <sheetView workbookViewId="0">
      <pane ySplit="1" topLeftCell="A2" activePane="bottomLeft" state="frozenSplit"/>
      <selection pane="bottomLeft" activeCell="B3" sqref="B3"/>
    </sheetView>
  </sheetViews>
  <sheetFormatPr defaultRowHeight="15" x14ac:dyDescent="0.25"/>
  <cols>
    <col min="1" max="1" width="40.42578125" bestFit="1" customWidth="1"/>
    <col min="2" max="2" width="18.85546875" bestFit="1" customWidth="1"/>
    <col min="3" max="3" width="34.28515625" bestFit="1" customWidth="1"/>
    <col min="4" max="4" width="104.42578125" bestFit="1" customWidth="1"/>
  </cols>
  <sheetData>
    <row r="1" spans="1:4" s="16" customFormat="1" x14ac:dyDescent="0.25">
      <c r="A1" s="23" t="s">
        <v>158</v>
      </c>
      <c r="B1" s="23" t="s">
        <v>234</v>
      </c>
      <c r="C1" s="16" t="s">
        <v>363</v>
      </c>
      <c r="D1" s="16" t="s">
        <v>345</v>
      </c>
    </row>
    <row r="3" spans="1:4" x14ac:dyDescent="0.25">
      <c r="A3" s="29" t="s">
        <v>303</v>
      </c>
      <c r="B3" s="46" t="b">
        <v>0</v>
      </c>
      <c r="C3" s="24" t="s">
        <v>360</v>
      </c>
      <c r="D3" s="24" t="s">
        <v>361</v>
      </c>
    </row>
    <row r="4" spans="1:4" x14ac:dyDescent="0.25">
      <c r="A4" s="29" t="s">
        <v>235</v>
      </c>
      <c r="B4" s="46" t="b">
        <v>0</v>
      </c>
      <c r="C4" s="24" t="s">
        <v>360</v>
      </c>
      <c r="D4" s="24" t="s">
        <v>362</v>
      </c>
    </row>
    <row r="6" spans="1:4" x14ac:dyDescent="0.25">
      <c r="A6" s="24" t="s">
        <v>236</v>
      </c>
      <c r="B6" s="46" t="b">
        <v>0</v>
      </c>
      <c r="C6" s="24" t="s">
        <v>370</v>
      </c>
      <c r="D6" s="24" t="s">
        <v>375</v>
      </c>
    </row>
    <row r="7" spans="1:4" x14ac:dyDescent="0.25">
      <c r="A7" s="24" t="s">
        <v>237</v>
      </c>
      <c r="B7" s="46" t="b">
        <v>0</v>
      </c>
      <c r="C7" s="24" t="s">
        <v>86</v>
      </c>
      <c r="D7" s="24" t="s">
        <v>376</v>
      </c>
    </row>
    <row r="8" spans="1:4" x14ac:dyDescent="0.25">
      <c r="A8" s="24" t="s">
        <v>238</v>
      </c>
      <c r="B8" s="46" t="b">
        <v>0</v>
      </c>
      <c r="C8" s="24" t="s">
        <v>371</v>
      </c>
      <c r="D8" s="24" t="s">
        <v>377</v>
      </c>
    </row>
    <row r="9" spans="1:4" x14ac:dyDescent="0.25">
      <c r="A9" s="24" t="s">
        <v>244</v>
      </c>
      <c r="B9" s="46" t="b">
        <v>0</v>
      </c>
      <c r="C9" s="24" t="s">
        <v>245</v>
      </c>
      <c r="D9" s="24" t="s">
        <v>378</v>
      </c>
    </row>
    <row r="10" spans="1:4" x14ac:dyDescent="0.25">
      <c r="A10" s="24" t="s">
        <v>239</v>
      </c>
      <c r="B10" s="46" t="b">
        <v>0</v>
      </c>
      <c r="C10" s="24" t="s">
        <v>248</v>
      </c>
      <c r="D10" s="24" t="s">
        <v>379</v>
      </c>
    </row>
    <row r="11" spans="1:4" x14ac:dyDescent="0.25">
      <c r="A11" s="24" t="s">
        <v>240</v>
      </c>
      <c r="B11" s="46" t="b">
        <v>0</v>
      </c>
      <c r="C11" s="24" t="s">
        <v>372</v>
      </c>
      <c r="D11" s="24" t="s">
        <v>380</v>
      </c>
    </row>
    <row r="12" spans="1:4" x14ac:dyDescent="0.25">
      <c r="A12" s="24" t="s">
        <v>241</v>
      </c>
      <c r="B12" s="46" t="b">
        <v>0</v>
      </c>
      <c r="C12" s="24" t="s">
        <v>373</v>
      </c>
      <c r="D12" s="24" t="s">
        <v>381</v>
      </c>
    </row>
    <row r="13" spans="1:4" x14ac:dyDescent="0.25">
      <c r="A13" s="24" t="s">
        <v>242</v>
      </c>
      <c r="B13" s="46" t="b">
        <v>0</v>
      </c>
      <c r="C13" s="24" t="s">
        <v>374</v>
      </c>
      <c r="D13" s="24" t="s">
        <v>382</v>
      </c>
    </row>
  </sheetData>
  <dataValidations count="1">
    <dataValidation type="list" showErrorMessage="1" error="Please select one of the valid values from the drop-down menu:_x000a__x000a_True_x000a_False" sqref="B6:B13 B3:B4" xr:uid="{81788420-8366-4488-83B8-3DF6B0E509F6}">
      <formula1>TrueOrFalse</formula1>
    </dataValidation>
  </dataValidations>
  <pageMargins left="0.7" right="0.7" top="0.75" bottom="0.75" header="0.3" footer="0.3"/>
  <headerFooter>
    <oddFooter>&amp;C_x000D_&amp;1#&amp;"Calibri"&amp;10&amp;K000000 DSV internal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C27"/>
  <sheetViews>
    <sheetView tabSelected="1" zoomScaleNormal="100" workbookViewId="0">
      <pane ySplit="1" topLeftCell="A2" activePane="bottomLeft" state="frozenSplit"/>
      <selection pane="bottomLeft" activeCell="B2" sqref="B2"/>
    </sheetView>
  </sheetViews>
  <sheetFormatPr defaultColWidth="9.140625" defaultRowHeight="15" x14ac:dyDescent="0.25"/>
  <cols>
    <col min="1" max="1" width="40.5703125" style="8" bestFit="1" customWidth="1"/>
    <col min="2" max="2" width="54.28515625" style="123" customWidth="1"/>
    <col min="3" max="3" width="101" style="8" bestFit="1" customWidth="1"/>
    <col min="4" max="16384" width="9.140625" style="8"/>
  </cols>
  <sheetData>
    <row r="1" spans="1:3" s="27" customFormat="1" x14ac:dyDescent="0.25">
      <c r="A1" s="28" t="s">
        <v>59</v>
      </c>
      <c r="B1" s="121" t="s">
        <v>60</v>
      </c>
      <c r="C1" s="28" t="s">
        <v>126</v>
      </c>
    </row>
    <row r="2" spans="1:3" x14ac:dyDescent="0.25">
      <c r="A2" s="29" t="s">
        <v>1561</v>
      </c>
      <c r="B2" s="122"/>
      <c r="C2" s="29" t="s">
        <v>1562</v>
      </c>
    </row>
    <row r="3" spans="1:3" x14ac:dyDescent="0.25">
      <c r="A3" s="29" t="s">
        <v>315</v>
      </c>
      <c r="B3" s="122"/>
      <c r="C3" s="29" t="s">
        <v>331</v>
      </c>
    </row>
    <row r="4" spans="1:3" ht="60" x14ac:dyDescent="0.25">
      <c r="A4" s="29" t="s">
        <v>316</v>
      </c>
      <c r="B4" s="122"/>
      <c r="C4" s="30" t="s">
        <v>1805</v>
      </c>
    </row>
    <row r="5" spans="1:3" ht="16.5" customHeight="1" x14ac:dyDescent="0.25">
      <c r="A5" s="29" t="s">
        <v>104</v>
      </c>
      <c r="B5" s="122"/>
      <c r="C5" s="30" t="s">
        <v>329</v>
      </c>
    </row>
    <row r="6" spans="1:3" x14ac:dyDescent="0.25">
      <c r="A6" s="29" t="s">
        <v>82</v>
      </c>
      <c r="B6" s="122"/>
      <c r="C6" s="29" t="s">
        <v>332</v>
      </c>
    </row>
    <row r="7" spans="1:3" x14ac:dyDescent="0.25">
      <c r="A7" s="29" t="s">
        <v>83</v>
      </c>
      <c r="B7" s="122"/>
      <c r="C7" s="29" t="s">
        <v>333</v>
      </c>
    </row>
    <row r="8" spans="1:3" x14ac:dyDescent="0.25">
      <c r="A8" s="29" t="s">
        <v>61</v>
      </c>
      <c r="B8" s="122"/>
      <c r="C8" s="29" t="s">
        <v>330</v>
      </c>
    </row>
    <row r="9" spans="1:3" x14ac:dyDescent="0.25">
      <c r="A9" s="29" t="s">
        <v>1473</v>
      </c>
      <c r="B9" s="122"/>
      <c r="C9" s="29" t="s">
        <v>1474</v>
      </c>
    </row>
    <row r="10" spans="1:3" ht="15.75" thickBot="1" x14ac:dyDescent="0.3"/>
    <row r="11" spans="1:3" s="65" customFormat="1" ht="16.5" thickTop="1" thickBot="1" x14ac:dyDescent="0.3">
      <c r="B11" s="124"/>
    </row>
    <row r="12" spans="1:3" s="27" customFormat="1" ht="15.75" thickTop="1" x14ac:dyDescent="0.25">
      <c r="A12" s="8"/>
      <c r="B12" s="123"/>
      <c r="C12" s="8"/>
    </row>
    <row r="13" spans="1:3" s="27" customFormat="1" x14ac:dyDescent="0.25">
      <c r="A13" s="29" t="s">
        <v>1833</v>
      </c>
      <c r="B13" s="122"/>
      <c r="C13" s="29" t="s">
        <v>1834</v>
      </c>
    </row>
    <row r="14" spans="1:3" s="27" customFormat="1" x14ac:dyDescent="0.25">
      <c r="A14" s="29" t="s">
        <v>367</v>
      </c>
      <c r="B14" s="122"/>
      <c r="C14" s="29" t="s">
        <v>368</v>
      </c>
    </row>
    <row r="15" spans="1:3" s="27" customFormat="1" x14ac:dyDescent="0.25">
      <c r="A15" s="29" t="s">
        <v>818</v>
      </c>
      <c r="B15" s="122"/>
      <c r="C15" s="29" t="s">
        <v>817</v>
      </c>
    </row>
    <row r="16" spans="1:3" s="27" customFormat="1" ht="15.75" thickBot="1" x14ac:dyDescent="0.3">
      <c r="A16" s="8"/>
      <c r="B16" s="123"/>
      <c r="C16" s="8"/>
    </row>
    <row r="17" spans="1:3" s="65" customFormat="1" ht="16.5" thickTop="1" thickBot="1" x14ac:dyDescent="0.3">
      <c r="B17" s="156"/>
    </row>
    <row r="18" spans="1:3" s="27" customFormat="1" ht="60.75" thickTop="1" x14ac:dyDescent="0.25">
      <c r="A18" s="27" t="s">
        <v>1475</v>
      </c>
      <c r="B18" s="122"/>
      <c r="C18" s="25" t="s">
        <v>1476</v>
      </c>
    </row>
    <row r="19" spans="1:3" s="27" customFormat="1" x14ac:dyDescent="0.25">
      <c r="A19" s="28" t="s">
        <v>791</v>
      </c>
      <c r="B19" s="122"/>
      <c r="C19" s="29" t="s">
        <v>796</v>
      </c>
    </row>
    <row r="20" spans="1:3" s="27" customFormat="1" x14ac:dyDescent="0.25">
      <c r="A20" s="28" t="s">
        <v>792</v>
      </c>
      <c r="B20" s="122"/>
      <c r="C20" s="29" t="s">
        <v>795</v>
      </c>
    </row>
    <row r="21" spans="1:3" s="27" customFormat="1" x14ac:dyDescent="0.25">
      <c r="A21" s="28" t="s">
        <v>793</v>
      </c>
      <c r="B21" s="122"/>
      <c r="C21" s="29" t="s">
        <v>794</v>
      </c>
    </row>
    <row r="22" spans="1:3" s="27" customFormat="1" x14ac:dyDescent="0.25">
      <c r="B22" s="123"/>
      <c r="C22" s="8"/>
    </row>
    <row r="23" spans="1:3" s="27" customFormat="1" x14ac:dyDescent="0.25">
      <c r="A23" s="28" t="s">
        <v>125</v>
      </c>
      <c r="B23" s="123"/>
      <c r="C23" s="8"/>
    </row>
    <row r="24" spans="1:3" s="27" customFormat="1" x14ac:dyDescent="0.25">
      <c r="A24" s="173"/>
      <c r="B24" s="123"/>
      <c r="C24" s="8"/>
    </row>
    <row r="25" spans="1:3" ht="45" x14ac:dyDescent="0.25">
      <c r="A25" s="72" t="s">
        <v>159</v>
      </c>
      <c r="C25" s="32" t="s">
        <v>1545</v>
      </c>
    </row>
    <row r="26" spans="1:3" x14ac:dyDescent="0.25">
      <c r="A26" s="74"/>
      <c r="C26" s="32"/>
    </row>
    <row r="27" spans="1:3" ht="60" x14ac:dyDescent="0.25">
      <c r="A27" s="28" t="s">
        <v>758</v>
      </c>
      <c r="C27" s="32" t="s">
        <v>1569</v>
      </c>
    </row>
  </sheetData>
  <dataValidations count="6">
    <dataValidation type="list" allowBlank="1" showErrorMessage="1" error="Please select a valid value from the dropdown menu." sqref="B5" xr:uid="{00000000-0002-0000-0300-000003000000}">
      <formula1>UserType</formula1>
    </dataValidation>
    <dataValidation type="list" allowBlank="1" showInputMessage="1" showErrorMessage="1" error="Please select a valid value from the drop down menu." sqref="B14" xr:uid="{00000000-0002-0000-0300-000006000000}">
      <formula1>Frameworks</formula1>
    </dataValidation>
    <dataValidation type="list" showInputMessage="1" showErrorMessage="1" error="Please select a valid value from the drop down list." sqref="B8" xr:uid="{00000000-0002-0000-0300-000007000000}">
      <formula1>ValidEncodings</formula1>
    </dataValidation>
    <dataValidation type="list" allowBlank="1" showInputMessage="1" showErrorMessage="1" sqref="B18" xr:uid="{F2F6182C-692E-45F5-8275-6682559F5F25}">
      <formula1>MapTypeOptions</formula1>
    </dataValidation>
    <dataValidation showInputMessage="1" showErrorMessage="1" error="Please select a valid value from the drop down list." sqref="B9" xr:uid="{6DF4D53E-B2CF-4C11-8778-FC202D3A1690}"/>
    <dataValidation type="list" allowBlank="1" showInputMessage="1" showErrorMessage="1" sqref="B13" xr:uid="{78FA9603-5DDB-4D8D-AAF3-BF2A23FC158D}">
      <formula1>CorporateEdiOrEbip</formula1>
    </dataValidation>
  </dataValidations>
  <pageMargins left="0.7" right="0.7" top="0.75" bottom="0.75" header="0.3" footer="0.3"/>
  <pageSetup paperSize="9" orientation="portrait" r:id="rId1"/>
  <headerFooter>
    <oddFooter>&amp;C_x000D_&amp;1#&amp;"Calibri"&amp;10&amp;K000000 DSV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33" r:id="rId4" name="Button 5">
              <controlPr defaultSize="0" print="0" autoFill="0" autoPict="0" macro="[0]!ThisWorkbook.CreateMapTable">
                <anchor moveWithCells="1">
                  <from>
                    <xdr:col>3</xdr:col>
                    <xdr:colOff>590550</xdr:colOff>
                    <xdr:row>17</xdr:row>
                    <xdr:rowOff>180975</xdr:rowOff>
                  </from>
                  <to>
                    <xdr:col>6</xdr:col>
                    <xdr:colOff>476250</xdr:colOff>
                    <xdr:row>18</xdr:row>
                    <xdr:rowOff>0</xdr:rowOff>
                  </to>
                </anchor>
              </controlPr>
            </control>
          </mc:Choice>
        </mc:AlternateContent>
        <mc:AlternateContent xmlns:mc="http://schemas.openxmlformats.org/markup-compatibility/2006">
          <mc:Choice Requires="x14">
            <control shapeId="48135" r:id="rId5" name="Button 7">
              <controlPr defaultSize="0" print="0" autoFill="0" autoPict="0" macro="[0]!ThisWorkbook.CreateCodeListTable">
                <anchor moveWithCells="1">
                  <from>
                    <xdr:col>3</xdr:col>
                    <xdr:colOff>581025</xdr:colOff>
                    <xdr:row>21</xdr:row>
                    <xdr:rowOff>9525</xdr:rowOff>
                  </from>
                  <to>
                    <xdr:col>7</xdr:col>
                    <xdr:colOff>104775</xdr:colOff>
                    <xdr:row>23</xdr:row>
                    <xdr:rowOff>9525</xdr:rowOff>
                  </to>
                </anchor>
              </controlPr>
            </control>
          </mc:Choice>
        </mc:AlternateContent>
        <mc:AlternateContent xmlns:mc="http://schemas.openxmlformats.org/markup-compatibility/2006">
          <mc:Choice Requires="x14">
            <control shapeId="48139" r:id="rId6" name="Button 11">
              <controlPr defaultSize="0" print="0" autoFill="0" autoPict="0" macro="[0]!ThisWorkbook.CreateStylesheetTable">
                <anchor moveWithCells="1">
                  <from>
                    <xdr:col>4</xdr:col>
                    <xdr:colOff>0</xdr:colOff>
                    <xdr:row>17</xdr:row>
                    <xdr:rowOff>733425</xdr:rowOff>
                  </from>
                  <to>
                    <xdr:col>7</xdr:col>
                    <xdr:colOff>209550</xdr:colOff>
                    <xdr:row>19</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DSV Server Protocol" prompt="Select the server protocol" xr:uid="{297A2507-DFF2-494F-86F8-69C202FFF6B3}">
          <x14:formula1>
            <xm:f>'DropDown - DO NOT EDIT'!$R$2:$R$3</xm:f>
          </x14:formula1>
          <xm:sqref>B15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52"/>
  <sheetViews>
    <sheetView workbookViewId="0">
      <pane ySplit="1" topLeftCell="A2" activePane="bottomLeft" state="frozenSplit"/>
      <selection pane="bottomLeft" activeCell="A2" sqref="A2"/>
    </sheetView>
  </sheetViews>
  <sheetFormatPr defaultColWidth="55.7109375" defaultRowHeight="15" x14ac:dyDescent="0.25"/>
  <cols>
    <col min="1" max="1" width="38.28515625" bestFit="1" customWidth="1"/>
    <col min="2" max="2" width="105.42578125" bestFit="1" customWidth="1"/>
    <col min="3" max="3" width="57.85546875" bestFit="1" customWidth="1"/>
    <col min="4" max="4" width="65.28515625" customWidth="1"/>
  </cols>
  <sheetData>
    <row r="1" spans="1:4" s="16" customFormat="1" x14ac:dyDescent="0.25">
      <c r="A1" s="143" t="s">
        <v>342</v>
      </c>
      <c r="B1" s="143" t="s">
        <v>341</v>
      </c>
      <c r="C1" s="16" t="s">
        <v>759</v>
      </c>
      <c r="D1" s="16" t="s">
        <v>1174</v>
      </c>
    </row>
    <row r="2" spans="1:4" s="16" customFormat="1" x14ac:dyDescent="0.25"/>
    <row r="3" spans="1:4" s="16" customFormat="1" ht="78" customHeight="1" x14ac:dyDescent="0.25">
      <c r="A3" s="143" t="s">
        <v>125</v>
      </c>
      <c r="C3" s="157" t="s">
        <v>1171</v>
      </c>
      <c r="D3" s="158" t="s">
        <v>1439</v>
      </c>
    </row>
    <row r="4" spans="1:4" s="16" customFormat="1" ht="16.5" customHeight="1" x14ac:dyDescent="0.25">
      <c r="A4" s="163"/>
      <c r="C4" s="157"/>
      <c r="D4" s="158"/>
    </row>
    <row r="5" spans="1:4" s="16" customFormat="1" ht="25.5" customHeight="1" x14ac:dyDescent="0.25">
      <c r="A5" s="24" t="s">
        <v>1428</v>
      </c>
      <c r="B5" s="24" t="str">
        <f>IF(ISBLANK(ResolvedPartnerId) = TRUE,"If the SourceIDLookup codelist is needed, you need to enter the Resolved Partner ID in the Master data worksheet!",CONCATENATE("DSV_CL_SourceIDLookup_",ResolvedPartnerId,"_D10B_CDM_V2_cl"))</f>
        <v>If the SourceIDLookup codelist is needed, you need to enter the Resolved Partner ID in the Master data worksheet!</v>
      </c>
      <c r="C5" s="157"/>
      <c r="D5" s="158"/>
    </row>
    <row r="6" spans="1:4" x14ac:dyDescent="0.25">
      <c r="A6" s="164"/>
      <c r="C6" s="159"/>
      <c r="D6" s="25"/>
    </row>
    <row r="7" spans="1:4" s="16" customFormat="1" x14ac:dyDescent="0.25">
      <c r="A7"/>
      <c r="B7"/>
      <c r="C7" s="157"/>
    </row>
    <row r="8" spans="1:4" s="16" customFormat="1" x14ac:dyDescent="0.25">
      <c r="A8" s="24" t="s">
        <v>1429</v>
      </c>
      <c r="B8" s="165" t="s">
        <v>1430</v>
      </c>
      <c r="C8" s="157"/>
    </row>
    <row r="9" spans="1:4" s="16" customFormat="1" x14ac:dyDescent="0.25">
      <c r="A9" s="24" t="s">
        <v>1431</v>
      </c>
      <c r="B9" s="165" t="s">
        <v>1430</v>
      </c>
      <c r="C9" s="157"/>
    </row>
    <row r="10" spans="1:4" s="16" customFormat="1" x14ac:dyDescent="0.25">
      <c r="A10"/>
      <c r="B10"/>
      <c r="C10" s="157"/>
    </row>
    <row r="11" spans="1:4" s="16" customFormat="1" x14ac:dyDescent="0.25">
      <c r="A11"/>
      <c r="B11"/>
      <c r="C11" s="157"/>
    </row>
    <row r="12" spans="1:4" s="16" customFormat="1" x14ac:dyDescent="0.25">
      <c r="A12" s="143" t="s">
        <v>159</v>
      </c>
      <c r="B12"/>
      <c r="C12" s="157"/>
    </row>
    <row r="13" spans="1:4" s="16" customFormat="1" x14ac:dyDescent="0.25">
      <c r="A13"/>
      <c r="B13"/>
      <c r="C13" s="157"/>
    </row>
    <row r="14" spans="1:4" s="16" customFormat="1" ht="45" x14ac:dyDescent="0.25">
      <c r="A14" s="24" t="s">
        <v>1432</v>
      </c>
      <c r="B14" s="24" t="str">
        <f>IF(OR(ISBLANK(RITMNumber)=TRUE,ISBLANK(PartnerDesignation)= TRUE),"You need to enter both the Partner Code and the RITM/EDIT or INC number in the Master data worksheet!",IF(TypeOfMap="ITX","RT not required for ITX resources",_xlfn.CONCAT("DSV_",RITMNumber,"_",PartnerDesignation,"_0.1_rt")))</f>
        <v>You need to enter both the Partner Code and the RITM/EDIT or INC number in the Master data worksheet!</v>
      </c>
      <c r="C14" s="24" t="str">
        <f>IF(OR(ISBLANK(RITMNumber)=TRUE,ISBLANK(PartnerDesignation)= TRUE),"SI RT name will be generated here if map/codelist is ITX",IF(TypeOfMap="ITX",_xlfn.CONCAT("DSV_",RITMNumber,"_",PartnerDesignation,"_0.1_rt"),""))</f>
        <v>SI RT name will be generated here if map/codelist is ITX</v>
      </c>
      <c r="D14" s="158" t="s">
        <v>1563</v>
      </c>
    </row>
    <row r="15" spans="1:4" s="16" customFormat="1" ht="60" x14ac:dyDescent="0.25">
      <c r="A15" s="24" t="s">
        <v>317</v>
      </c>
      <c r="B15" s="24" t="str">
        <f>IF(OR(ISBLANK(RITMNumber)=TRUE,ISBLANK(PartnerDesignation)= TRUE),"You need to enter both the Partner Code and the RITM/EDIT or INC number in the Master data worksheet!",_xlfn.CONCAT("DSV_",IF(TypeOfMap="ITX","ITXA_",""),RITMNumber,"_",PartnerDesignation,"_0.1_exp.xml"))</f>
        <v>You need to enter both the Partner Code and the RITM/EDIT or INC number in the Master data worksheet!</v>
      </c>
      <c r="C15" s="24" t="str">
        <f>IF(OR(ISBLANK(RITMNumber)=TRUE,ISBLANK(PartnerDesignation)= TRUE),"SI RT export name will be generated here if map/codelist is ITX",IF(TypeOfMap="ITX",_xlfn.CONCAT("DSV_",RITMNumber,"_",PartnerDesignation,"_0.1_exp.xml"),""))</f>
        <v>SI RT export name will be generated here if map/codelist is ITX</v>
      </c>
      <c r="D15" s="158" t="s">
        <v>1564</v>
      </c>
    </row>
    <row r="16" spans="1:4" s="16" customFormat="1" x14ac:dyDescent="0.25">
      <c r="A16"/>
      <c r="B16"/>
      <c r="C16" s="157"/>
    </row>
    <row r="17" spans="1:3" s="16" customFormat="1" x14ac:dyDescent="0.25">
      <c r="A17"/>
      <c r="B17"/>
      <c r="C17" s="157"/>
    </row>
    <row r="18" spans="1:3" s="16" customFormat="1" x14ac:dyDescent="0.25">
      <c r="A18" s="24" t="s">
        <v>593</v>
      </c>
      <c r="B18" s="24" t="str">
        <f>IF(OR(ISBLANK(RITMNumber)=TRUE,ISBLANK(PartnerDesignation)= TRUE),"You need to enter both the Partner Code and the RITM/EDIT or INC number in the Master data worksheet!",CONCATENATE("DSV_",RITMNumber,"_",PartnerDesignation,"_0.1_frer.json"))</f>
        <v>You need to enter both the Partner Code and the RITM/EDIT or INC number in the Master data worksheet!</v>
      </c>
      <c r="C18" s="157"/>
    </row>
    <row r="19" spans="1:3" s="16" customFormat="1" x14ac:dyDescent="0.25">
      <c r="A19" s="24" t="s">
        <v>594</v>
      </c>
      <c r="B19" s="24" t="str">
        <f>IF(OR(ISBLANK(RITMNumber)=TRUE,ISBLANK(PartnerDesignation)= TRUE),"You need to enter both the Partner Code and the RITM/EDIT or INC number in the Master data worksheet!",CONCATENATE("DSV_",RITMNumber,"_",PartnerDesignation,"_0.1_fsir.json"))</f>
        <v>You need to enter both the Partner Code and the RITM/EDIT or INC number in the Master data worksheet!</v>
      </c>
      <c r="C19" s="157"/>
    </row>
    <row r="20" spans="1:3" s="16" customFormat="1" x14ac:dyDescent="0.25">
      <c r="A20" s="24" t="s">
        <v>595</v>
      </c>
      <c r="B20" s="24" t="str">
        <f>IF(OR(ISBLANK(RITMNumber)=TRUE,ISBLANK(PartnerDesignation)= TRUE),"You need to enter both the Partner Code and the RITM/EDIT or INC number in the Master data worksheet!",CONCATENATE("DSV_",RITMNumber,"_",PartnerDesignation,"_0.1_fxir.json"))</f>
        <v>You need to enter both the Partner Code and the RITM/EDIT or INC number in the Master data worksheet!</v>
      </c>
      <c r="C20" s="157"/>
    </row>
    <row r="21" spans="1:3" s="16" customFormat="1" x14ac:dyDescent="0.25">
      <c r="A21" s="24" t="s">
        <v>1466</v>
      </c>
      <c r="B21" s="24" t="str">
        <f>IF(OR(ISBLANK(RITMNumber)=TRUE,ISBLANK(PartnerDesignation)= TRUE),"You need to enter both the Partner Code and the RITM/EDIT or INC number in the Master data worksheet!",CONCATENATE("DSV_",RITMNumber,"_",PartnerDesignation,"_0.1_fdor.json"))</f>
        <v>You need to enter both the Partner Code and the RITM/EDIT or INC number in the Master data worksheet!</v>
      </c>
      <c r="C21" s="157"/>
    </row>
    <row r="22" spans="1:3" s="16" customFormat="1" x14ac:dyDescent="0.25">
      <c r="A22" s="24" t="s">
        <v>596</v>
      </c>
      <c r="B22" s="24" t="str">
        <f>IF(OR(ISBLANK(RITMNumber)=TRUE,ISBLANK(PartnerDesignation)= TRUE),"You need to enter both the Partner Code and the RITM/EDIT or INC number in the Master data worksheet!",CONCATENATE("DSV_",RITMNumber,"_",PartnerDesignation,"_0.1_fror.json"))</f>
        <v>You need to enter both the Partner Code and the RITM/EDIT or INC number in the Master data worksheet!</v>
      </c>
      <c r="C22" s="157"/>
    </row>
    <row r="23" spans="1:3" s="16" customFormat="1" x14ac:dyDescent="0.25">
      <c r="A23" s="160" t="s">
        <v>597</v>
      </c>
      <c r="B23" s="160" t="str">
        <f>IF(OR(ISBLANK(RITMNumber)=TRUE,ISBLANK(PartnerDesignation)= TRUE),"You need to enter both the Partner Code and the RITM/EDIT or INC number in the Master data worksheet!",CONCATENATE("DSV_",RITMNumber,"_",PartnerDesignation,"_0.1_fser.json"))</f>
        <v>You need to enter both the Partner Code and the RITM/EDIT or INC number in the Master data worksheet!</v>
      </c>
      <c r="C23" s="157"/>
    </row>
    <row r="24" spans="1:3" s="16" customFormat="1" x14ac:dyDescent="0.25">
      <c r="A24" s="24" t="s">
        <v>599</v>
      </c>
      <c r="B24" s="24" t="str">
        <f>IF(OR(ISBLANK(RITMNumber)=TRUE,ISBLANK(PartnerDesignation)= TRUE),"You need to enter both the Partner Code and the RITM/EDIT or INC number in the Master data worksheet!",CONCATENATE("DSV_",RITMNumber,"_",PartnerDesignation,"_0.1_fnor.json"))</f>
        <v>You need to enter both the Partner Code and the RITM/EDIT or INC number in the Master data worksheet!</v>
      </c>
      <c r="C24" s="157"/>
    </row>
    <row r="25" spans="1:3" s="16" customFormat="1" x14ac:dyDescent="0.25">
      <c r="A25" s="24" t="s">
        <v>598</v>
      </c>
      <c r="B25" s="24" t="str">
        <f>IF(OR(ISBLANK(RITMNumber)=TRUE,ISBLANK(PartnerDesignation)= TRUE),"You need to enter both the Partner Code and the RITM/EDIT or INC number in the Master data worksheet!",CONCATENATE("DSV_",RITMNumber,"_",PartnerDesignation,"_0.1_fger.json"))</f>
        <v>You need to enter both the Partner Code and the RITM/EDIT or INC number in the Master data worksheet!</v>
      </c>
      <c r="C25" s="157"/>
    </row>
    <row r="26" spans="1:3" s="16" customFormat="1" x14ac:dyDescent="0.25">
      <c r="A26" s="24" t="s">
        <v>600</v>
      </c>
      <c r="B26" s="24" t="str">
        <f>IF(OR(ISBLANK(RITMNumber)=TRUE,ISBLANK(PartnerDesignation)= TRUE),"You need to enter both the Partner Code and the RITM/EDIT or INC number in the Master data worksheet!",CONCATENATE("DSV_",RITMNumber,"_",PartnerDesignation,"_0.1_ffid.json"))</f>
        <v>You need to enter both the Partner Code and the RITM/EDIT or INC number in the Master data worksheet!</v>
      </c>
      <c r="C26" s="157"/>
    </row>
    <row r="27" spans="1:3" s="16" customFormat="1" x14ac:dyDescent="0.25">
      <c r="A27" s="24" t="s">
        <v>605</v>
      </c>
      <c r="B27" s="24" t="str">
        <f>IF(OR(ISBLANK(RITMNumber)=TRUE,ISBLANK(PartnerDesignation)= TRUE),"You need to enter both the Partner Code and the RITM/EDIT or INC number in the Master data worksheet!",CONCATENATE("DSV_",RITMNumber,"_",PartnerDesignation,"_0.1_fbpp.json"))</f>
        <v>You need to enter both the Partner Code and the RITM/EDIT or INC number in the Master data worksheet!</v>
      </c>
      <c r="C27" s="157"/>
    </row>
    <row r="28" spans="1:3" s="16" customFormat="1" x14ac:dyDescent="0.25">
      <c r="A28" s="24" t="s">
        <v>619</v>
      </c>
      <c r="B28" s="24" t="str">
        <f>IF(OR(ISBLANK(RITMNumber)=TRUE,ISBLANK(PartnerDesignation)= TRUE),"You need to enter both the Partner Code and the RITM/EDIT or INC number in the Master data worksheet!",CONCATENATE("DSV_",RITMNumber,"_",PartnerDesignation,"_0.1_fwsr.json"))</f>
        <v>You need to enter both the Partner Code and the RITM/EDIT or INC number in the Master data worksheet!</v>
      </c>
      <c r="C28" s="157"/>
    </row>
    <row r="29" spans="1:3" s="16" customFormat="1" x14ac:dyDescent="0.25">
      <c r="A29"/>
      <c r="B29"/>
      <c r="C29" s="157"/>
    </row>
    <row r="30" spans="1:3" s="16" customFormat="1" x14ac:dyDescent="0.25">
      <c r="A30"/>
      <c r="B30"/>
      <c r="C30" s="157"/>
    </row>
    <row r="31" spans="1:3" s="16" customFormat="1" x14ac:dyDescent="0.25">
      <c r="A31" s="24" t="s">
        <v>443</v>
      </c>
      <c r="B31" s="24" t="str">
        <f>IF(OR(ISBLANK(RITMNumber)=TRUE,ISBLANK(PartnerDesignation)= TRUE),"You need to enter both the Partner Code and the RITM/EDIT or INC number in the Master data worksheet!",CONCATENATE("DSV_",RITMNumber,"_",PartnerDesignation,"_0.1_sql.sql"))</f>
        <v>You need to enter both the Partner Code and the RITM/EDIT or INC number in the Master data worksheet!</v>
      </c>
      <c r="C31" s="157"/>
    </row>
    <row r="32" spans="1:3" x14ac:dyDescent="0.25">
      <c r="A32" s="24" t="s">
        <v>444</v>
      </c>
      <c r="B32" s="24" t="str">
        <f>IF(OR(ISBLANK(RITMNumber)=TRUE,ISBLANK(PartnerDesignation)= TRUE),"You need to enter both the Partner Code and the RITM/EDIT or INC number in the Master data worksheet!",CONCATENATE("DSV_",RITMNumber,"_",PartnerDesignation,"_ROLLBACK_0.1_sql.sql"))</f>
        <v>You need to enter both the Partner Code and the RITM/EDIT or INC number in the Master data worksheet!</v>
      </c>
    </row>
    <row r="33" spans="1:3" x14ac:dyDescent="0.25">
      <c r="A33" s="24" t="s">
        <v>445</v>
      </c>
      <c r="B33" s="24" t="str">
        <f>IF(OR(ISBLANK(RITMNumber)=TRUE,ISBLANK(PartnerDesignation)= TRUE),"You need to enter both the Partner Code and the RITM/EDIT or INC number in the Master data worksheet!",CONCATENATE("DSV_",RITMNumber,"_",PartnerDesignation,"_0.1_sqlout.log"))</f>
        <v>You need to enter both the Partner Code and the RITM/EDIT or INC number in the Master data worksheet!</v>
      </c>
    </row>
    <row r="34" spans="1:3" x14ac:dyDescent="0.25">
      <c r="A34" s="24" t="s">
        <v>446</v>
      </c>
      <c r="B34" s="24" t="str">
        <f>IF(OR(ISBLANK(RITMNumber)=TRUE,ISBLANK(PartnerDesignation)= TRUE),"You need to enter both the Partner Code and the RITM/EDIT or INC number in the Master data worksheet!",CONCATENATE("DSV_",RITMNumber,"_",PartnerDesignation,"_ROLLBACK_0.1_sqlout.log"))</f>
        <v>You need to enter both the Partner Code and the RITM/EDIT or INC number in the Master data worksheet!</v>
      </c>
      <c r="C34" s="16"/>
    </row>
    <row r="35" spans="1:3" x14ac:dyDescent="0.25">
      <c r="C35" s="16"/>
    </row>
    <row r="36" spans="1:3" x14ac:dyDescent="0.25">
      <c r="C36" s="16"/>
    </row>
    <row r="38" spans="1:3" x14ac:dyDescent="0.25">
      <c r="A38" s="23" t="s">
        <v>124</v>
      </c>
    </row>
    <row r="39" spans="1:3" x14ac:dyDescent="0.25">
      <c r="A39" s="23" t="s">
        <v>335</v>
      </c>
      <c r="B39" s="23" t="s">
        <v>336</v>
      </c>
      <c r="C39" s="23" t="s">
        <v>615</v>
      </c>
    </row>
    <row r="40" spans="1:3" x14ac:dyDescent="0.25">
      <c r="C40" s="24" t="b">
        <v>1</v>
      </c>
    </row>
    <row r="41" spans="1:3" x14ac:dyDescent="0.25">
      <c r="A41" s="46"/>
      <c r="B41" s="24" t="str">
        <f>IF(NOT(ISBLANK(A41)),IF(C41=FALSE,CONCATENATE("DSV_BP_",A41,"_bp"),CONCATENATE("DSV_BP_",PartnerDesignation,"_",A41,"_bp")),"")</f>
        <v/>
      </c>
      <c r="C41" s="24" t="b">
        <v>0</v>
      </c>
    </row>
    <row r="42" spans="1:3" x14ac:dyDescent="0.25">
      <c r="A42" s="46"/>
      <c r="B42" s="24" t="str">
        <f>IF(NOT(ISBLANK(A42)),IF(C42=FALSE,CONCATENATE("DSV_BP_",A42,"_bp"),CONCATENATE("DSV_BP_",PartnerDesignation,"_",A42,"_bp")),"")</f>
        <v/>
      </c>
      <c r="C42" s="24" t="b">
        <v>0</v>
      </c>
    </row>
    <row r="43" spans="1:3" x14ac:dyDescent="0.25">
      <c r="A43" s="16"/>
    </row>
    <row r="44" spans="1:3" x14ac:dyDescent="0.25">
      <c r="A44" s="16"/>
    </row>
    <row r="45" spans="1:3" x14ac:dyDescent="0.25">
      <c r="A45" s="23" t="s">
        <v>337</v>
      </c>
    </row>
    <row r="46" spans="1:3" x14ac:dyDescent="0.25">
      <c r="A46" s="23" t="s">
        <v>338</v>
      </c>
      <c r="B46" s="23" t="s">
        <v>339</v>
      </c>
      <c r="C46" s="23" t="s">
        <v>616</v>
      </c>
    </row>
    <row r="47" spans="1:3" x14ac:dyDescent="0.25">
      <c r="A47" s="46"/>
      <c r="B47" s="24" t="str">
        <f>IF(NOT(ISBLANK(A47)),IF(C47=FALSE,CONCATENATE("DSV_BP_",A47,"_plugin_bp"),CONCATENATE("DSV_BP_",PartnerDesignation,"_",A47,"_plugin_bp")),"")</f>
        <v/>
      </c>
      <c r="C47" s="24" t="b">
        <v>0</v>
      </c>
    </row>
    <row r="48" spans="1:3" x14ac:dyDescent="0.25">
      <c r="A48" s="46"/>
      <c r="B48" s="24" t="str">
        <f>IF(NOT(ISBLANK(A48)),IF(C48=FALSE,CONCATENATE("DSV_BP_",A48,"_plugin_bp"),CONCATENATE("DSV_BP_",PartnerDesignation,"_",A48,"_plugin_bp")),"")</f>
        <v/>
      </c>
      <c r="C48" s="24" t="b">
        <v>0</v>
      </c>
    </row>
    <row r="49" spans="1:3" x14ac:dyDescent="0.25">
      <c r="A49" s="46"/>
      <c r="B49" s="24" t="str">
        <f>IF(NOT(ISBLANK(A49)),IF(C49=FALSE,CONCATENATE("DSV_BP_",A49,"_plugin_bp"),CONCATENATE("DSV_BP_",PartnerDesignation,"_",A49,"_plugin_bp")),"")</f>
        <v/>
      </c>
      <c r="C49" s="24" t="b">
        <v>0</v>
      </c>
    </row>
    <row r="52" spans="1:3" x14ac:dyDescent="0.25">
      <c r="A52" s="144" t="s">
        <v>758</v>
      </c>
    </row>
  </sheetData>
  <autoFilter ref="A1:C52" xr:uid="{649C9C65-8B43-4FD5-86E0-B45903DE753F}"/>
  <conditionalFormatting sqref="D2">
    <cfRule type="expression" dxfId="5" priority="97">
      <formula>LEN(#REF!)&gt;31</formula>
    </cfRule>
    <cfRule type="expression" dxfId="4" priority="98">
      <formula>LEN(#REF!)&gt;31</formula>
    </cfRule>
  </conditionalFormatting>
  <dataValidations count="1">
    <dataValidation type="list" showErrorMessage="1" error="Valid values are only TRUE and FALSE." sqref="C40:C42 C47:C49" xr:uid="{97EBEC57-4262-4A88-8C29-4C8D360B32B9}">
      <formula1>TrueOrFalse</formula1>
    </dataValidation>
  </dataValidations>
  <pageMargins left="0.7" right="0.7" top="0.75" bottom="0.75" header="0.3" footer="0.3"/>
  <pageSetup paperSize="9" orientation="portrait" r:id="rId1"/>
  <headerFooter>
    <oddFooter>&amp;C_x000D_&amp;1#&amp;"Calibri"&amp;10&amp;K000000 DSV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G25"/>
  <sheetViews>
    <sheetView workbookViewId="0">
      <selection activeCell="A6" sqref="A6"/>
    </sheetView>
  </sheetViews>
  <sheetFormatPr defaultRowHeight="15" x14ac:dyDescent="0.25"/>
  <cols>
    <col min="1" max="1" width="52.85546875" style="16" bestFit="1" customWidth="1"/>
    <col min="2" max="2" width="38.7109375" customWidth="1"/>
    <col min="3" max="3" width="24.7109375" bestFit="1" customWidth="1"/>
    <col min="4" max="4" width="45.85546875" customWidth="1"/>
    <col min="5" max="5" width="31.140625" bestFit="1" customWidth="1"/>
    <col min="6" max="6" width="40.28515625" bestFit="1" customWidth="1"/>
    <col min="7" max="7" width="29.85546875" bestFit="1" customWidth="1"/>
  </cols>
  <sheetData>
    <row r="1" spans="1:7" s="16" customFormat="1" x14ac:dyDescent="0.25">
      <c r="A1" s="23" t="s">
        <v>334</v>
      </c>
    </row>
    <row r="2" spans="1:7" s="16" customFormat="1" x14ac:dyDescent="0.25"/>
    <row r="4" spans="1:7" x14ac:dyDescent="0.25">
      <c r="A4" s="23" t="s">
        <v>355</v>
      </c>
    </row>
    <row r="5" spans="1:7" x14ac:dyDescent="0.25">
      <c r="A5" s="23" t="s">
        <v>356</v>
      </c>
      <c r="B5" s="23" t="s">
        <v>0</v>
      </c>
      <c r="C5" s="23" t="s">
        <v>357</v>
      </c>
      <c r="D5" s="23" t="s">
        <v>340</v>
      </c>
      <c r="E5" s="23" t="s">
        <v>465</v>
      </c>
      <c r="F5" s="23" t="s">
        <v>358</v>
      </c>
      <c r="G5" s="23" t="s">
        <v>359</v>
      </c>
    </row>
    <row r="6" spans="1:7" x14ac:dyDescent="0.25">
      <c r="A6" s="46"/>
      <c r="B6" s="46"/>
      <c r="C6" s="46"/>
      <c r="D6" s="24" t="str">
        <f t="shared" ref="D6:D25" si="0">IF(AND(NOT(ISBLANK(PartnerDesignation)),NOT(ISBLANK(A6)),NOT(ISBLANK(B6))),CONCATENATE(UPPER(CONCATENATE("DSV_",PartnerDesignation,"_",A6,"_",B6,IF(NOT(ISBLANK(C6)),CONCATENATE("_",C6),""))),"_tp"),"")</f>
        <v/>
      </c>
      <c r="E6" s="46"/>
      <c r="F6" s="24" t="str">
        <f t="shared" ref="F6:F25" si="1">IF(AND(NOT(ISBLANK(PartnerDesignation)),NOT(ISBLANK(A6)),NOT(ISBLANK(B6))),CONCATENATE(UPPER(CONCATENATE("DSV_",PartnerDesignation,"_",A6,"_",B6,IF(NOT(ISBLANK(C6)),CONCATENATE("_",C6),""))),IF(NOT(ISBLANK(E6)),CONCATENATE("_",E6),""),"_UNH"),"")</f>
        <v/>
      </c>
      <c r="G6" s="24" t="str">
        <f t="shared" ref="G6:G25" si="2">IF(AND(NOT(ISBLANK(PartnerDesignation)),NOT(ISBLANK(A6)),NOT(ISBLANK(B6))),CONCATENATE(UPPER(CONCATENATE("DSV_",PartnerDesignation,"_",B6,IF(NOT(ISBLANK(C6)),CONCATENATE("_",C6),""))),IF(NOT(ISBLANK(E6)),CONCATENATE("_",E6),""),"_UNB"),"")</f>
        <v/>
      </c>
    </row>
    <row r="7" spans="1:7" x14ac:dyDescent="0.25">
      <c r="A7" s="46"/>
      <c r="B7" s="46"/>
      <c r="C7" s="46"/>
      <c r="D7" s="24" t="str">
        <f t="shared" si="0"/>
        <v/>
      </c>
      <c r="E7" s="46"/>
      <c r="F7" s="24" t="str">
        <f t="shared" si="1"/>
        <v/>
      </c>
      <c r="G7" s="24" t="str">
        <f t="shared" si="2"/>
        <v/>
      </c>
    </row>
    <row r="8" spans="1:7" x14ac:dyDescent="0.25">
      <c r="A8" s="46"/>
      <c r="B8" s="46"/>
      <c r="C8" s="46"/>
      <c r="D8" s="24" t="str">
        <f t="shared" si="0"/>
        <v/>
      </c>
      <c r="E8" s="46"/>
      <c r="F8" s="24" t="str">
        <f t="shared" si="1"/>
        <v/>
      </c>
      <c r="G8" s="24" t="str">
        <f t="shared" si="2"/>
        <v/>
      </c>
    </row>
    <row r="9" spans="1:7" x14ac:dyDescent="0.25">
      <c r="A9" s="46"/>
      <c r="B9" s="46"/>
      <c r="C9" s="46"/>
      <c r="D9" s="24" t="str">
        <f t="shared" si="0"/>
        <v/>
      </c>
      <c r="E9" s="46"/>
      <c r="F9" s="24" t="str">
        <f t="shared" si="1"/>
        <v/>
      </c>
      <c r="G9" s="24" t="str">
        <f t="shared" si="2"/>
        <v/>
      </c>
    </row>
    <row r="10" spans="1:7" x14ac:dyDescent="0.25">
      <c r="A10" s="46"/>
      <c r="B10" s="46"/>
      <c r="C10" s="46"/>
      <c r="D10" s="24"/>
      <c r="E10" s="46"/>
      <c r="F10" s="24"/>
      <c r="G10" s="24"/>
    </row>
    <row r="11" spans="1:7" x14ac:dyDescent="0.25">
      <c r="A11" s="46"/>
      <c r="B11" s="46"/>
      <c r="C11" s="46"/>
      <c r="D11" s="24"/>
      <c r="E11" s="46"/>
      <c r="F11" s="24"/>
      <c r="G11" s="24"/>
    </row>
    <row r="12" spans="1:7" x14ac:dyDescent="0.25">
      <c r="A12" s="46"/>
      <c r="B12" s="46"/>
      <c r="C12" s="46"/>
      <c r="D12" s="24"/>
      <c r="E12" s="46"/>
      <c r="F12" s="24"/>
      <c r="G12" s="24"/>
    </row>
    <row r="13" spans="1:7" x14ac:dyDescent="0.25">
      <c r="A13" s="46"/>
      <c r="B13" s="46"/>
      <c r="C13" s="46"/>
      <c r="D13" s="24"/>
      <c r="E13" s="46"/>
      <c r="F13" s="24"/>
      <c r="G13" s="24"/>
    </row>
    <row r="14" spans="1:7" x14ac:dyDescent="0.25">
      <c r="A14" s="46"/>
      <c r="B14" s="46"/>
      <c r="C14" s="46"/>
      <c r="D14" s="24"/>
      <c r="E14" s="46"/>
      <c r="F14" s="24"/>
      <c r="G14" s="24"/>
    </row>
    <row r="15" spans="1:7" x14ac:dyDescent="0.25">
      <c r="A15" s="46"/>
      <c r="B15" s="46"/>
      <c r="C15" s="46"/>
      <c r="D15" s="24"/>
      <c r="E15" s="46"/>
      <c r="F15" s="24"/>
      <c r="G15" s="24"/>
    </row>
    <row r="16" spans="1:7" x14ac:dyDescent="0.25">
      <c r="A16" s="46"/>
      <c r="B16" s="46"/>
      <c r="C16" s="46"/>
      <c r="D16" s="24"/>
      <c r="E16" s="46"/>
      <c r="F16" s="24"/>
      <c r="G16" s="24"/>
    </row>
    <row r="17" spans="1:7" x14ac:dyDescent="0.25">
      <c r="A17" s="46"/>
      <c r="B17" s="46"/>
      <c r="C17" s="46"/>
      <c r="D17" s="24"/>
      <c r="E17" s="46"/>
      <c r="F17" s="24"/>
      <c r="G17" s="24"/>
    </row>
    <row r="18" spans="1:7" x14ac:dyDescent="0.25">
      <c r="A18" s="46"/>
      <c r="B18" s="46"/>
      <c r="C18" s="46"/>
      <c r="D18" s="24"/>
      <c r="E18" s="46"/>
      <c r="F18" s="24"/>
      <c r="G18" s="24"/>
    </row>
    <row r="19" spans="1:7" x14ac:dyDescent="0.25">
      <c r="A19" s="46"/>
      <c r="B19" s="46"/>
      <c r="C19" s="46"/>
      <c r="D19" s="24"/>
      <c r="E19" s="46"/>
      <c r="F19" s="24"/>
      <c r="G19" s="24"/>
    </row>
    <row r="20" spans="1:7" x14ac:dyDescent="0.25">
      <c r="A20" s="46"/>
      <c r="B20" s="46"/>
      <c r="C20" s="46"/>
      <c r="D20" s="24" t="str">
        <f t="shared" si="0"/>
        <v/>
      </c>
      <c r="E20" s="46"/>
      <c r="F20" s="24" t="str">
        <f t="shared" si="1"/>
        <v/>
      </c>
      <c r="G20" s="24" t="str">
        <f t="shared" si="2"/>
        <v/>
      </c>
    </row>
    <row r="21" spans="1:7" x14ac:dyDescent="0.25">
      <c r="A21" s="46"/>
      <c r="B21" s="46"/>
      <c r="C21" s="46"/>
      <c r="D21" s="24" t="str">
        <f t="shared" si="0"/>
        <v/>
      </c>
      <c r="E21" s="46"/>
      <c r="F21" s="24" t="str">
        <f t="shared" si="1"/>
        <v/>
      </c>
      <c r="G21" s="24" t="str">
        <f t="shared" si="2"/>
        <v/>
      </c>
    </row>
    <row r="22" spans="1:7" x14ac:dyDescent="0.25">
      <c r="A22" s="46"/>
      <c r="B22" s="46"/>
      <c r="C22" s="46"/>
      <c r="D22" s="24" t="str">
        <f t="shared" si="0"/>
        <v/>
      </c>
      <c r="E22" s="46"/>
      <c r="F22" s="24" t="str">
        <f t="shared" si="1"/>
        <v/>
      </c>
      <c r="G22" s="24" t="str">
        <f t="shared" si="2"/>
        <v/>
      </c>
    </row>
    <row r="23" spans="1:7" x14ac:dyDescent="0.25">
      <c r="A23" s="46"/>
      <c r="B23" s="46"/>
      <c r="C23" s="46"/>
      <c r="D23" s="24" t="str">
        <f t="shared" si="0"/>
        <v/>
      </c>
      <c r="E23" s="46"/>
      <c r="F23" s="24" t="str">
        <f t="shared" si="1"/>
        <v/>
      </c>
      <c r="G23" s="24" t="str">
        <f t="shared" si="2"/>
        <v/>
      </c>
    </row>
    <row r="24" spans="1:7" x14ac:dyDescent="0.25">
      <c r="A24" s="46"/>
      <c r="B24" s="46"/>
      <c r="C24" s="46"/>
      <c r="D24" s="24" t="str">
        <f t="shared" si="0"/>
        <v/>
      </c>
      <c r="E24" s="46"/>
      <c r="F24" s="24" t="str">
        <f t="shared" si="1"/>
        <v/>
      </c>
      <c r="G24" s="24" t="str">
        <f t="shared" si="2"/>
        <v/>
      </c>
    </row>
    <row r="25" spans="1:7" x14ac:dyDescent="0.25">
      <c r="A25" s="46"/>
      <c r="B25" s="46"/>
      <c r="C25" s="46"/>
      <c r="D25" s="24" t="str">
        <f t="shared" si="0"/>
        <v/>
      </c>
      <c r="E25" s="46"/>
      <c r="F25" s="24" t="str">
        <f t="shared" si="1"/>
        <v/>
      </c>
      <c r="G25" s="24" t="str">
        <f t="shared" si="2"/>
        <v/>
      </c>
    </row>
  </sheetData>
  <dataValidations count="3">
    <dataValidation type="list" showInputMessage="1" showErrorMessage="1" error="Please select a valid value from the drop down menu." sqref="B6:B25" xr:uid="{00000000-0002-0000-0500-000000000000}">
      <formula1>Direction</formula1>
    </dataValidation>
    <dataValidation type="list" showInputMessage="1" showErrorMessage="1" error="Please select a valid value from the drop down menu." sqref="C6:C25" xr:uid="{00000000-0002-0000-0500-000001000000}">
      <formula1>DSVSystem</formula1>
    </dataValidation>
    <dataValidation type="list" allowBlank="1" showInputMessage="1" showErrorMessage="1" error="Please pick a valid value from the drop down menu." sqref="E6:E25" xr:uid="{00000000-0002-0000-0500-000002000000}">
      <formula1>environment</formula1>
    </dataValidation>
  </dataValidations>
  <pageMargins left="0.7" right="0.7" top="0.75" bottom="0.75" header="0.3" footer="0.3"/>
  <headerFooter>
    <oddFooter>&amp;C_x000D_&amp;1#&amp;"Calibri"&amp;10&amp;K000000 DSV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38"/>
  <sheetViews>
    <sheetView zoomScaleNormal="100" workbookViewId="0">
      <selection activeCell="B1" sqref="B1"/>
    </sheetView>
  </sheetViews>
  <sheetFormatPr defaultRowHeight="15" x14ac:dyDescent="0.25"/>
  <cols>
    <col min="1" max="1" width="37.5703125" bestFit="1" customWidth="1"/>
    <col min="2" max="2" width="71.140625" bestFit="1" customWidth="1"/>
    <col min="3" max="3" width="83.85546875" bestFit="1" customWidth="1"/>
  </cols>
  <sheetData>
    <row r="1" spans="1:3" x14ac:dyDescent="0.25">
      <c r="A1" s="24" t="s">
        <v>1553</v>
      </c>
      <c r="B1" s="46"/>
      <c r="C1" t="str">
        <f>_xlfn.IFNA(VLOOKUP(B1,FWIdentityOrgNameTypesDescrVLOOKUP,2,FALSE),"")</f>
        <v/>
      </c>
    </row>
    <row r="3" spans="1:3" x14ac:dyDescent="0.25">
      <c r="A3" s="48" t="s">
        <v>4</v>
      </c>
      <c r="B3" s="16"/>
    </row>
    <row r="4" spans="1:3" x14ac:dyDescent="0.25">
      <c r="A4" s="146" t="s">
        <v>59</v>
      </c>
      <c r="B4" s="39" t="s">
        <v>60</v>
      </c>
      <c r="C4" s="23" t="s">
        <v>126</v>
      </c>
    </row>
    <row r="5" spans="1:3" x14ac:dyDescent="0.25">
      <c r="A5" s="147" t="s">
        <v>601</v>
      </c>
      <c r="B5" s="41" t="str">
        <f>IF(ISBLANK(PartnerName)=TRUE,"You need to enter the partner name in the Master data worksheet!",IF(ISBLANK(OrgNameType)=TRUE,"You must select a value for LW FW Identity Organization Name Type, above.",IF(OrgNameType="Customer connection - direct",IF(ISBLANK(PartnerName3PP)=FALSE,"3rd Party Partner Name has a value in the Master data sheet. Please remove this, or change the value in the LW FW Identity Organization Name Type field, above.",_xlfn.CONCAT(PartnerName," - Direct")),IF(ISBLANK(PartnerName3PP)=TRUE,"The 3rd Party Partner Name field in the Master data sheet is blank. Please fix.",IF(OrgNameType="Customer connection - via third party",_xlfn.CONCAT(PartnerName," - 3CC - ",PartnerName3PP),IF(OrgNameType="Third party solution - multiple customers - same identifier",_xlfn.CONCAT(PartnerName3PP," - 3PP"),_xlfn.CONCAT(PartnerName," - 3PP - ",PartnerName3PP)))))))</f>
        <v>You need to enter the partner name in the Master data worksheet!</v>
      </c>
    </row>
    <row r="6" spans="1:3" x14ac:dyDescent="0.25">
      <c r="A6" s="147" t="s">
        <v>602</v>
      </c>
      <c r="B6" s="41" t="str">
        <f>IF(ISBLANK(ResolvedPartnerId)=TRUE,"You need to enter the resolved partner ID in the Master data worksheet!",ResolvedPartnerId)</f>
        <v>You need to enter the resolved partner ID in the Master data worksheet!</v>
      </c>
    </row>
    <row r="7" spans="1:3" x14ac:dyDescent="0.25">
      <c r="A7" s="147" t="s">
        <v>603</v>
      </c>
      <c r="B7" s="40" t="str">
        <f>IF(ISBLANK(PartnerName)=TRUE,"","&lt;Leave Empty&gt;")</f>
        <v/>
      </c>
    </row>
    <row r="8" spans="1:3" x14ac:dyDescent="0.25">
      <c r="A8" s="147" t="s">
        <v>604</v>
      </c>
      <c r="B8" s="41" t="str">
        <f>IF(ISBLANK(PartnerName)=TRUE,"","Yes")</f>
        <v/>
      </c>
    </row>
    <row r="9" spans="1:3" x14ac:dyDescent="0.25">
      <c r="A9" s="148"/>
      <c r="B9" s="42"/>
    </row>
    <row r="10" spans="1:3" x14ac:dyDescent="0.25">
      <c r="A10" s="147" t="s">
        <v>799</v>
      </c>
      <c r="B10" s="181"/>
    </row>
    <row r="11" spans="1:3" x14ac:dyDescent="0.25">
      <c r="A11" s="147" t="s">
        <v>800</v>
      </c>
      <c r="B11" s="181"/>
    </row>
    <row r="12" spans="1:3" x14ac:dyDescent="0.25">
      <c r="A12" s="147" t="s">
        <v>801</v>
      </c>
      <c r="B12" s="181"/>
    </row>
    <row r="13" spans="1:3" x14ac:dyDescent="0.25">
      <c r="A13" s="147" t="s">
        <v>802</v>
      </c>
      <c r="B13" s="181"/>
    </row>
    <row r="14" spans="1:3" x14ac:dyDescent="0.25">
      <c r="A14" s="147" t="s">
        <v>803</v>
      </c>
      <c r="B14" s="181"/>
    </row>
    <row r="15" spans="1:3" x14ac:dyDescent="0.25">
      <c r="A15" s="147" t="s">
        <v>804</v>
      </c>
      <c r="B15" s="181"/>
    </row>
    <row r="16" spans="1:3" ht="30" x14ac:dyDescent="0.25">
      <c r="A16" s="147" t="s">
        <v>805</v>
      </c>
      <c r="B16" s="181"/>
      <c r="C16" s="26" t="s">
        <v>811</v>
      </c>
    </row>
    <row r="17" spans="1:3" x14ac:dyDescent="0.25">
      <c r="A17" s="147" t="s">
        <v>806</v>
      </c>
      <c r="B17" s="181"/>
      <c r="C17" s="26" t="s">
        <v>809</v>
      </c>
    </row>
    <row r="18" spans="1:3" ht="30" x14ac:dyDescent="0.25">
      <c r="A18" s="147" t="s">
        <v>807</v>
      </c>
      <c r="B18" s="181"/>
      <c r="C18" s="26" t="s">
        <v>810</v>
      </c>
    </row>
    <row r="19" spans="1:3" x14ac:dyDescent="0.25">
      <c r="A19" s="147" t="s">
        <v>808</v>
      </c>
      <c r="B19" s="181"/>
    </row>
    <row r="20" spans="1:3" x14ac:dyDescent="0.25">
      <c r="B20" s="42"/>
    </row>
    <row r="21" spans="1:3" s="21" customFormat="1" x14ac:dyDescent="0.25"/>
    <row r="22" spans="1:3" x14ac:dyDescent="0.25">
      <c r="A22" s="48" t="s">
        <v>78</v>
      </c>
    </row>
    <row r="23" spans="1:3" x14ac:dyDescent="0.25">
      <c r="A23" s="23" t="s">
        <v>59</v>
      </c>
      <c r="B23" s="39" t="s">
        <v>60</v>
      </c>
      <c r="C23" s="23" t="s">
        <v>126</v>
      </c>
    </row>
    <row r="24" spans="1:3" x14ac:dyDescent="0.25">
      <c r="A24" s="24" t="s">
        <v>601</v>
      </c>
      <c r="B24" s="41" t="str">
        <f>IF(UnresolvedPartnerID&lt;&gt;ResolvedPartnerId,CONCATENATE(UnresolvedPartnerID," - ",ResolvedPartnerId),"")</f>
        <v/>
      </c>
    </row>
    <row r="25" spans="1:3" x14ac:dyDescent="0.25">
      <c r="A25" s="24" t="s">
        <v>602</v>
      </c>
      <c r="B25" s="41" t="str">
        <f>IF(UnresolvedPartnerID&lt;&gt;ResolvedPartnerId,UnresolvedPartnerID,"")</f>
        <v/>
      </c>
    </row>
    <row r="26" spans="1:3" x14ac:dyDescent="0.25">
      <c r="A26" s="24" t="s">
        <v>603</v>
      </c>
      <c r="B26" s="41" t="str">
        <f>IF(UnresolvedPartnerID&lt;&gt;ResolvedPartnerId,ResolvedPartnerId,"")</f>
        <v/>
      </c>
    </row>
    <row r="27" spans="1:3" x14ac:dyDescent="0.25">
      <c r="A27" s="24" t="s">
        <v>604</v>
      </c>
      <c r="B27" s="41" t="str">
        <f>IF(UnresolvedPartnerID&lt;&gt;ResolvedPartnerId,"Yes","")</f>
        <v/>
      </c>
    </row>
    <row r="29" spans="1:3" x14ac:dyDescent="0.25">
      <c r="A29" s="147" t="s">
        <v>799</v>
      </c>
      <c r="B29" s="181"/>
    </row>
    <row r="30" spans="1:3" x14ac:dyDescent="0.25">
      <c r="A30" s="147" t="s">
        <v>800</v>
      </c>
      <c r="B30" s="181"/>
    </row>
    <row r="31" spans="1:3" x14ac:dyDescent="0.25">
      <c r="A31" s="147" t="s">
        <v>801</v>
      </c>
      <c r="B31" s="181"/>
    </row>
    <row r="32" spans="1:3" x14ac:dyDescent="0.25">
      <c r="A32" s="147" t="s">
        <v>802</v>
      </c>
      <c r="B32" s="181"/>
    </row>
    <row r="33" spans="1:3" x14ac:dyDescent="0.25">
      <c r="A33" s="147" t="s">
        <v>803</v>
      </c>
      <c r="B33" s="181"/>
    </row>
    <row r="34" spans="1:3" x14ac:dyDescent="0.25">
      <c r="A34" s="147" t="s">
        <v>804</v>
      </c>
      <c r="B34" s="181"/>
    </row>
    <row r="35" spans="1:3" ht="30" x14ac:dyDescent="0.25">
      <c r="A35" s="147" t="s">
        <v>805</v>
      </c>
      <c r="B35" s="181"/>
      <c r="C35" s="26" t="s">
        <v>811</v>
      </c>
    </row>
    <row r="36" spans="1:3" x14ac:dyDescent="0.25">
      <c r="A36" s="147" t="s">
        <v>806</v>
      </c>
      <c r="B36" s="181"/>
      <c r="C36" s="26" t="s">
        <v>809</v>
      </c>
    </row>
    <row r="37" spans="1:3" ht="30" x14ac:dyDescent="0.25">
      <c r="A37" s="147" t="s">
        <v>807</v>
      </c>
      <c r="B37" s="181"/>
      <c r="C37" s="26" t="s">
        <v>810</v>
      </c>
    </row>
    <row r="38" spans="1:3" x14ac:dyDescent="0.25">
      <c r="A38" s="147" t="s">
        <v>808</v>
      </c>
      <c r="B38" s="181"/>
    </row>
  </sheetData>
  <dataValidations count="1">
    <dataValidation type="list" allowBlank="1" showErrorMessage="1" errorTitle="Oops" error="Please select a valid value from the drop-down list." sqref="B1" xr:uid="{D35EF672-0F81-4CC5-8605-14F68CD8139E}">
      <formula1>FWIdentityOrgNameTypes</formula1>
    </dataValidation>
  </dataValidations>
  <pageMargins left="0.7" right="0.7" top="0.75" bottom="0.75" header="0.3" footer="0.3"/>
  <pageSetup paperSize="9" orientation="portrait" r:id="rId1"/>
  <headerFooter>
    <oddFooter>&amp;C_x000D_&amp;1#&amp;"Calibri"&amp;10&amp;K000000 DSV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34"/>
  <sheetViews>
    <sheetView zoomScaleNormal="100" workbookViewId="0">
      <selection activeCell="B1" sqref="B1"/>
    </sheetView>
  </sheetViews>
  <sheetFormatPr defaultRowHeight="15" x14ac:dyDescent="0.25"/>
  <cols>
    <col min="1" max="1" width="22.42578125" bestFit="1" customWidth="1"/>
    <col min="2" max="2" width="67.140625" style="42" customWidth="1"/>
  </cols>
  <sheetData>
    <row r="1" spans="1:2" x14ac:dyDescent="0.25">
      <c r="A1" s="23" t="s">
        <v>62</v>
      </c>
      <c r="B1" s="41" t="str">
        <f>IF(OR(NOT(InboundRequired=FALSE),ISBLANK(InboundRequired)),IF(ISBLANK(UnresolvedPartnerID)=TRUE,"You need to enter the unresolved partner ID in the Master data worksheet!",CONCATENATE("DSV_CL_RECEIVE_ENCODING_",UnresolvedPartnerID,"_cl")),"")</f>
        <v/>
      </c>
    </row>
    <row r="2" spans="1:2" x14ac:dyDescent="0.25">
      <c r="A2" s="24" t="s">
        <v>79</v>
      </c>
      <c r="B2" s="41" t="str">
        <f>IF(OR(NOT(InboundRequired=FALSE),ISBLANK(InboundRequired)),IF(ISBLANK(UnresolvedPartnerID)=TRUE,"You need to enter the unresolved partner ID in the Master data worksheet!",UnresolvedPartnerID),"")</f>
        <v/>
      </c>
    </row>
    <row r="3" spans="1:2" x14ac:dyDescent="0.25">
      <c r="A3" s="24" t="s">
        <v>80</v>
      </c>
      <c r="B3" s="41" t="str">
        <f>IF(OR(NOT(InboundRequired=FALSE),ISBLANK(InboundRequired)),IF(ISBLANK(UnresolvedPartnerID)=TRUE,"You need to enter the unresolved partner ID in the Master data worksheet!",UnresolvedPartnerID),"")</f>
        <v/>
      </c>
    </row>
    <row r="4" spans="1:2" x14ac:dyDescent="0.25">
      <c r="A4" s="24" t="s">
        <v>81</v>
      </c>
      <c r="B4" s="41" t="str">
        <f>IF(OR(NOT(InboundRequired=FALSE),ISBLANK(InboundRequired)),IF(ISBLANK(Encoding)=TRUE,"You need to enter the partner encoding in the Master data worksheet!",UPPER(Encoding)),"")</f>
        <v/>
      </c>
    </row>
    <row r="8" spans="1:2" x14ac:dyDescent="0.25">
      <c r="A8" s="23" t="s">
        <v>63</v>
      </c>
      <c r="B8" s="41" t="str">
        <f>IF(OR(NOT(OutboundRequired=FALSE),ISBLANK(OutboundRequired)),IF(ISBLANK(ResolvedPartnerId)=TRUE,"You need to enter the resolved partner ID in the Master data worksheet!",CONCATENATE("DSV_CL_SEND_ENCODING_",ResolvedPartnerId,"_cl")),"")</f>
        <v/>
      </c>
    </row>
    <row r="9" spans="1:2" x14ac:dyDescent="0.25">
      <c r="A9" s="24" t="s">
        <v>79</v>
      </c>
      <c r="B9" s="41" t="str">
        <f>IF(OR(NOT(OutboundRequired=FALSE),ISBLANK(OutboundRequired)),IF(ISBLANK(ResolvedPartnerId)=TRUE,"You need to enter the resolved partner ID in the Master data worksheet!",ResolvedPartnerId),"")</f>
        <v/>
      </c>
    </row>
    <row r="10" spans="1:2" x14ac:dyDescent="0.25">
      <c r="A10" s="24" t="s">
        <v>80</v>
      </c>
      <c r="B10" s="41" t="str">
        <f>IF(OR(NOT(OutboundRequired=FALSE),ISBLANK(OutboundRequired)),IF(ISBLANK(ResolvedPartnerId)=TRUE,"You need to enter the resolved partner ID in the Master data worksheet!",ResolvedPartnerId),"")</f>
        <v/>
      </c>
    </row>
    <row r="11" spans="1:2" x14ac:dyDescent="0.25">
      <c r="A11" s="24" t="s">
        <v>81</v>
      </c>
      <c r="B11" s="41" t="str">
        <f>IF(OR(NOT(OutboundRequired=FALSE),ISBLANK(OutboundRequired)),IF(ISBLANK(Encoding)=TRUE,"You need to enter the partner encoding in the Master data worksheet!",UPPER(Encoding)),"")</f>
        <v/>
      </c>
    </row>
    <row r="28" spans="1:1" x14ac:dyDescent="0.25">
      <c r="A28" s="22"/>
    </row>
    <row r="29" spans="1:1" x14ac:dyDescent="0.25">
      <c r="A29" s="22"/>
    </row>
    <row r="30" spans="1:1" x14ac:dyDescent="0.25">
      <c r="A30" s="22"/>
    </row>
    <row r="31" spans="1:1" x14ac:dyDescent="0.25">
      <c r="A31" s="22"/>
    </row>
    <row r="32" spans="1:1" x14ac:dyDescent="0.25">
      <c r="A32" s="22"/>
    </row>
    <row r="33" spans="1:1" x14ac:dyDescent="0.25">
      <c r="A33" s="22"/>
    </row>
    <row r="34" spans="1:1" x14ac:dyDescent="0.25">
      <c r="A34" s="22"/>
    </row>
  </sheetData>
  <pageMargins left="0.7" right="0.7" top="0.75" bottom="0.75" header="0.3" footer="0.3"/>
  <headerFooter>
    <oddFooter>&amp;C_x000D_&amp;1#&amp;"Calibri"&amp;10&amp;K000000 DSV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E13"/>
  <sheetViews>
    <sheetView zoomScaleNormal="100" workbookViewId="0">
      <pane ySplit="1" topLeftCell="A2" activePane="bottomLeft" state="frozenSplit"/>
      <selection pane="bottomLeft" activeCell="C4" sqref="C4"/>
    </sheetView>
  </sheetViews>
  <sheetFormatPr defaultRowHeight="15" x14ac:dyDescent="0.25"/>
  <cols>
    <col min="1" max="1" width="37.5703125" bestFit="1" customWidth="1"/>
    <col min="2" max="2" width="34" customWidth="1"/>
    <col min="3" max="3" width="23.5703125" customWidth="1"/>
    <col min="5" max="5" width="38.7109375" bestFit="1" customWidth="1"/>
  </cols>
  <sheetData>
    <row r="1" spans="1:5" s="16" customFormat="1" x14ac:dyDescent="0.25">
      <c r="A1" s="23" t="s">
        <v>59</v>
      </c>
      <c r="B1" s="23" t="s">
        <v>164</v>
      </c>
      <c r="C1" s="23" t="s">
        <v>160</v>
      </c>
    </row>
    <row r="2" spans="1:5" x14ac:dyDescent="0.25">
      <c r="A2" s="24" t="s">
        <v>79</v>
      </c>
      <c r="B2" s="24" t="s">
        <v>165</v>
      </c>
      <c r="C2" s="24" t="str">
        <f>CONCATENATE(ResolvedPartnerId,"_",E3)</f>
        <v>_DSV</v>
      </c>
      <c r="E2" s="23" t="s">
        <v>163</v>
      </c>
    </row>
    <row r="3" spans="1:5" x14ac:dyDescent="0.25">
      <c r="A3" s="24" t="s">
        <v>161</v>
      </c>
      <c r="B3" s="24" t="s">
        <v>165</v>
      </c>
      <c r="C3" s="24" t="str">
        <f>CONCATENATE(ResolvedPartnerId,"_",E3)</f>
        <v>_DSV</v>
      </c>
      <c r="E3" s="46" t="s">
        <v>162</v>
      </c>
    </row>
    <row r="4" spans="1:5" x14ac:dyDescent="0.25">
      <c r="A4" s="24" t="s">
        <v>81</v>
      </c>
      <c r="B4" s="24" t="s">
        <v>165</v>
      </c>
      <c r="C4" s="46"/>
    </row>
    <row r="5" spans="1:5" x14ac:dyDescent="0.25">
      <c r="A5" s="24" t="s">
        <v>166</v>
      </c>
      <c r="B5" s="24" t="s">
        <v>54</v>
      </c>
      <c r="C5" s="46"/>
    </row>
    <row r="6" spans="1:5" x14ac:dyDescent="0.25">
      <c r="A6" s="24" t="s">
        <v>167</v>
      </c>
      <c r="B6" s="24" t="s">
        <v>54</v>
      </c>
      <c r="C6" s="46"/>
    </row>
    <row r="7" spans="1:5" x14ac:dyDescent="0.25">
      <c r="A7" s="24" t="s">
        <v>168</v>
      </c>
      <c r="B7" s="24" t="s">
        <v>54</v>
      </c>
      <c r="C7" s="46"/>
    </row>
    <row r="8" spans="1:5" x14ac:dyDescent="0.25">
      <c r="A8" s="24" t="s">
        <v>169</v>
      </c>
      <c r="B8" s="24" t="s">
        <v>54</v>
      </c>
      <c r="C8" s="46"/>
    </row>
    <row r="9" spans="1:5" x14ac:dyDescent="0.25">
      <c r="A9" s="24" t="s">
        <v>170</v>
      </c>
      <c r="B9" s="24" t="s">
        <v>54</v>
      </c>
      <c r="C9" s="46"/>
    </row>
    <row r="10" spans="1:5" x14ac:dyDescent="0.25">
      <c r="A10" s="24" t="s">
        <v>171</v>
      </c>
      <c r="B10" s="24" t="s">
        <v>54</v>
      </c>
      <c r="C10" s="43" t="s">
        <v>77</v>
      </c>
    </row>
    <row r="11" spans="1:5" x14ac:dyDescent="0.25">
      <c r="A11" s="24" t="s">
        <v>172</v>
      </c>
      <c r="B11" s="24" t="s">
        <v>54</v>
      </c>
      <c r="C11" s="43" t="s">
        <v>77</v>
      </c>
    </row>
    <row r="12" spans="1:5" x14ac:dyDescent="0.25">
      <c r="A12" s="24" t="s">
        <v>173</v>
      </c>
      <c r="B12" s="24" t="s">
        <v>54</v>
      </c>
      <c r="C12" s="43" t="s">
        <v>77</v>
      </c>
    </row>
    <row r="13" spans="1:5" x14ac:dyDescent="0.25">
      <c r="A13" s="24" t="s">
        <v>174</v>
      </c>
      <c r="B13" s="24" t="s">
        <v>54</v>
      </c>
      <c r="C13" s="43" t="s">
        <v>77</v>
      </c>
    </row>
  </sheetData>
  <pageMargins left="0.7" right="0.7" top="0.75" bottom="0.75" header="0.3" footer="0.3"/>
  <pageSetup paperSize="9" orientation="portrait" r:id="rId1"/>
  <headerFooter>
    <oddFooter>&amp;C_x000D_&amp;1#&amp;"Calibri"&amp;10&amp;K000000 DSV internal</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I18"/>
  <sheetViews>
    <sheetView zoomScaleNormal="100" workbookViewId="0">
      <selection activeCell="D14" sqref="D14"/>
    </sheetView>
  </sheetViews>
  <sheetFormatPr defaultColWidth="9.140625" defaultRowHeight="15" x14ac:dyDescent="0.25"/>
  <cols>
    <col min="1" max="1" width="13.42578125" style="8" bestFit="1" customWidth="1"/>
    <col min="2" max="2" width="16.140625" style="8" bestFit="1" customWidth="1"/>
    <col min="3" max="3" width="23.140625" style="8" bestFit="1" customWidth="1"/>
    <col min="4" max="4" width="71.85546875" style="32" customWidth="1"/>
    <col min="5" max="5" width="9.140625" style="8"/>
    <col min="6" max="6" width="25.7109375" style="8" bestFit="1" customWidth="1"/>
    <col min="7" max="7" width="47.42578125" style="8" customWidth="1"/>
    <col min="8" max="8" width="24.7109375" style="8" customWidth="1"/>
    <col min="9" max="16384" width="9.140625" style="8"/>
  </cols>
  <sheetData>
    <row r="1" spans="1:9" x14ac:dyDescent="0.25">
      <c r="A1" s="80" t="s">
        <v>84</v>
      </c>
    </row>
    <row r="3" spans="1:9" x14ac:dyDescent="0.25">
      <c r="A3" s="28" t="s">
        <v>67</v>
      </c>
      <c r="B3" s="28" t="s">
        <v>68</v>
      </c>
      <c r="C3" s="28" t="s">
        <v>59</v>
      </c>
      <c r="D3" s="33" t="s">
        <v>60</v>
      </c>
    </row>
    <row r="4" spans="1:9" x14ac:dyDescent="0.25">
      <c r="A4" s="54">
        <v>1</v>
      </c>
      <c r="B4" s="29" t="s">
        <v>3</v>
      </c>
      <c r="C4" s="29" t="s">
        <v>89</v>
      </c>
      <c r="D4" s="140" t="str">
        <f>IF(PartnerType&lt;&gt;"","External","")</f>
        <v/>
      </c>
    </row>
    <row r="5" spans="1:9" x14ac:dyDescent="0.25">
      <c r="A5" s="54"/>
      <c r="B5" s="29"/>
      <c r="C5" s="29" t="s">
        <v>3</v>
      </c>
      <c r="D5" s="140" t="str">
        <f>IF(PartnerType&lt;&gt;"",LOWER(PartnerType&amp;"."&amp;PartnerDesignation),"")</f>
        <v/>
      </c>
      <c r="I5" s="31"/>
    </row>
    <row r="6" spans="1:9" x14ac:dyDescent="0.25">
      <c r="A6" s="54"/>
      <c r="B6" s="29"/>
      <c r="C6" s="29" t="s">
        <v>103</v>
      </c>
      <c r="D6" s="140" t="str" cm="1">
        <f t="array" ref="D6">IF(PartnerType&lt;&gt;"",IF( MailboxProtocol="FTP", "FTP Authentication", IF(MailboxProtocol="SFTP", "SFTP Authentication")),"")</f>
        <v/>
      </c>
    </row>
    <row r="7" spans="1:9" x14ac:dyDescent="0.25">
      <c r="A7" s="54"/>
      <c r="B7" s="29"/>
      <c r="C7" s="29" t="s">
        <v>90</v>
      </c>
      <c r="D7" s="140" t="str">
        <f>IF(PartnerType&lt;&gt;"",5,"")</f>
        <v/>
      </c>
      <c r="I7" s="38"/>
    </row>
    <row r="8" spans="1:9" x14ac:dyDescent="0.25">
      <c r="A8" s="54"/>
      <c r="B8" s="29"/>
      <c r="C8" s="29" t="s">
        <v>91</v>
      </c>
      <c r="D8" s="140" t="str">
        <f>IF(PartnerType&lt;&gt;"","Admin UI","")</f>
        <v/>
      </c>
    </row>
    <row r="9" spans="1:9" x14ac:dyDescent="0.25">
      <c r="A9" s="54"/>
      <c r="B9" s="29"/>
      <c r="C9" s="29" t="s">
        <v>92</v>
      </c>
      <c r="D9" s="141" t="str">
        <f>IF(PartnerType&lt;&gt;"","&lt;Cannot be changed&gt;","")</f>
        <v/>
      </c>
    </row>
    <row r="10" spans="1:9" x14ac:dyDescent="0.25">
      <c r="A10" s="54">
        <v>2</v>
      </c>
      <c r="B10" s="29" t="s">
        <v>93</v>
      </c>
      <c r="C10" s="29" t="s">
        <v>94</v>
      </c>
      <c r="D10" s="140" t="str">
        <f>IF(PartnerType&lt;&gt;"","&lt;Leave Empty&gt;","")</f>
        <v/>
      </c>
    </row>
    <row r="11" spans="1:9" x14ac:dyDescent="0.25">
      <c r="A11" s="54">
        <v>3</v>
      </c>
      <c r="B11" s="29" t="s">
        <v>95</v>
      </c>
      <c r="C11" s="29" t="s">
        <v>96</v>
      </c>
      <c r="D11" s="140" t="str">
        <f>IF(PartnerType&lt;&gt;"","Admin Web App Permission"&amp;CHAR(10)&amp;"MyAccount"&amp;CHAR(10)&amp;"&lt;Together with the mailboxes created for the account&gt; (Will be assigned while creating the mailboxes)","")</f>
        <v/>
      </c>
    </row>
    <row r="12" spans="1:9" x14ac:dyDescent="0.25">
      <c r="A12" s="54">
        <v>4</v>
      </c>
      <c r="B12" s="29" t="s">
        <v>97</v>
      </c>
      <c r="C12" s="29" t="s">
        <v>326</v>
      </c>
      <c r="D12" s="140" t="str">
        <f>IF(PartnerType&lt;&gt;"",IF(PartnerName="","You need to fill out the Name field for the Base Identity!",PartnerName),"")</f>
        <v/>
      </c>
    </row>
    <row r="13" spans="1:9" x14ac:dyDescent="0.25">
      <c r="A13" s="54"/>
      <c r="B13" s="29"/>
      <c r="C13" s="29" t="s">
        <v>327</v>
      </c>
      <c r="D13" s="140" t="str">
        <f>IF(PartnerType&lt;&gt;"",IF(PartnerType="cus","Customer",IF(PartnerType="par","Partner",IF(PartnerType="dsv","Internal",""))),"")</f>
        <v/>
      </c>
    </row>
    <row r="14" spans="1:9" x14ac:dyDescent="0.25">
      <c r="A14" s="54"/>
      <c r="B14" s="29"/>
      <c r="C14" s="29" t="s">
        <v>98</v>
      </c>
      <c r="D14" s="139" t="str">
        <f>IF(PartnerType&lt;&gt;"","&lt;Contact e-mail address&gt;","")</f>
        <v/>
      </c>
    </row>
    <row r="15" spans="1:9" ht="30" x14ac:dyDescent="0.25">
      <c r="A15" s="54"/>
      <c r="B15" s="29"/>
      <c r="C15" s="29" t="s">
        <v>99</v>
      </c>
      <c r="D15" s="34" t="str">
        <f>IF(PartnerType&lt;&gt;"","&lt;Leave Empty&gt;","")</f>
        <v/>
      </c>
      <c r="G15" s="34" t="s">
        <v>243</v>
      </c>
    </row>
    <row r="16" spans="1:9" x14ac:dyDescent="0.25">
      <c r="A16" s="54"/>
      <c r="B16" s="29"/>
      <c r="C16" s="29" t="s">
        <v>100</v>
      </c>
      <c r="D16" s="141" t="str">
        <f>IF(PartnerType&lt;&gt;"","&lt;Leave As Is&gt;","")</f>
        <v/>
      </c>
    </row>
    <row r="17" spans="1:4" x14ac:dyDescent="0.25">
      <c r="A17" s="54"/>
      <c r="B17" s="29"/>
      <c r="C17" s="29" t="s">
        <v>101</v>
      </c>
      <c r="D17" s="141" t="str">
        <f>IF(PartnerType&lt;&gt;"","&lt;Leave Empty&gt;","")</f>
        <v/>
      </c>
    </row>
    <row r="18" spans="1:4" x14ac:dyDescent="0.25">
      <c r="A18" s="54"/>
      <c r="B18" s="29"/>
      <c r="C18" s="29" t="s">
        <v>102</v>
      </c>
      <c r="D18" s="141" t="str">
        <f>IF(PartnerType&lt;&gt;"","&lt;Leave As Is&gt;","")</f>
        <v/>
      </c>
    </row>
  </sheetData>
  <sheetProtection algorithmName="SHA-512" hashValue="GSiTvIlGrsWYWov7Sy0ENP9ntEN6tQR5Q346zkx1gK3F6ijFSR5YG0Er43TFaGllAsN7bSr+DC6aPvkBxcm9zw==" saltValue="eZaaZ5RDdz8o239N7l6GAA==" spinCount="100000" sheet="1" objects="1" scenarios="1"/>
  <protectedRanges>
    <protectedRange algorithmName="SHA-512" hashValue="mWy9LKOGeoV4criCR2J9uBPs6JRH6oZu5YprgxbigVSg2lVZRAqPhi6oifaYWPIR6st6Z1Y0tDFX621ue/l3EA==" saltValue="acEWL8nWcYf7nwgrJWTgww==" spinCount="100000" sqref="D15:D18" name="Range2"/>
    <protectedRange algorithmName="SHA-512" hashValue="nHzW9trY4CNi8RWgBSRI06gFpuRlruc+ojdJbbEsCwLrAWzl1kA3tPBZ3stTlYC21pP58uzaqg0Z7yvDeHT9/g==" saltValue="lF+9GI4AchczkFemcGePdg==" spinCount="100000" sqref="D4:D14" name="Range1"/>
  </protectedRanges>
  <pageMargins left="0.7" right="0.7" top="0.75" bottom="0.75" header="0.3" footer="0.3"/>
  <pageSetup paperSize="9" orientation="portrait" r:id="rId1"/>
  <headerFooter>
    <oddFooter>&amp;C_x000D_&amp;1#&amp;"Calibri"&amp;10&amp;K000000 DSV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ThisWorkbook.GeneratePassword">
                <anchor>
                  <from>
                    <xdr:col>5</xdr:col>
                    <xdr:colOff>28575</xdr:colOff>
                    <xdr:row>13</xdr:row>
                    <xdr:rowOff>171450</xdr:rowOff>
                  </from>
                  <to>
                    <xdr:col>5</xdr:col>
                    <xdr:colOff>1552575</xdr:colOff>
                    <xdr:row>14</xdr:row>
                    <xdr:rowOff>209550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I339"/>
  <sheetViews>
    <sheetView workbookViewId="0">
      <selection activeCell="D5" sqref="D5"/>
    </sheetView>
  </sheetViews>
  <sheetFormatPr defaultRowHeight="15" x14ac:dyDescent="0.25"/>
  <cols>
    <col min="1" max="1" width="22.42578125" bestFit="1" customWidth="1"/>
    <col min="2" max="2" width="13.5703125" style="50" bestFit="1" customWidth="1"/>
    <col min="3" max="3" width="14.5703125" style="50" bestFit="1" customWidth="1"/>
    <col min="4" max="4" width="67.5703125" style="25" customWidth="1"/>
    <col min="6" max="6" width="20.7109375" bestFit="1" customWidth="1"/>
    <col min="7" max="7" width="13.5703125" style="50" bestFit="1" customWidth="1"/>
    <col min="8" max="8" width="14.5703125" style="50" bestFit="1" customWidth="1"/>
    <col min="9" max="9" width="63.7109375" customWidth="1"/>
  </cols>
  <sheetData>
    <row r="1" spans="1:9" x14ac:dyDescent="0.25">
      <c r="A1" s="75" t="s">
        <v>105</v>
      </c>
    </row>
    <row r="3" spans="1:9" x14ac:dyDescent="0.25">
      <c r="A3" s="16" t="s">
        <v>106</v>
      </c>
    </row>
    <row r="4" spans="1:9" x14ac:dyDescent="0.25">
      <c r="A4" s="23" t="s">
        <v>67</v>
      </c>
      <c r="B4" s="72" t="s">
        <v>68</v>
      </c>
      <c r="C4" s="72" t="s">
        <v>59</v>
      </c>
      <c r="D4" s="35" t="s">
        <v>60</v>
      </c>
    </row>
    <row r="5" spans="1:9" x14ac:dyDescent="0.25">
      <c r="A5" s="182">
        <v>1</v>
      </c>
      <c r="B5" s="185" t="s">
        <v>69</v>
      </c>
      <c r="C5" s="55" t="s">
        <v>107</v>
      </c>
      <c r="D5" s="26" t="str">
        <f>IF(AND(NOT(ISBLANK(PartnerType)),OR(NOT(ConfigureMailboxes=FALSE),ISBLANK(ConfigureMailboxes))),CONCATENATE("/DSV_ACCOUNTS_mb/DSV_",IF(PartnerType="cus","CUSTOMERS",IF(PartnerType="par","PARTNERS",IF(PartnerType="dsv","INTERNALS",IF(PartnerType="util","UTIL","Somehow a Partner Type is missing")))),"_mb"),"")</f>
        <v/>
      </c>
    </row>
    <row r="6" spans="1:9" x14ac:dyDescent="0.25">
      <c r="A6" s="183"/>
      <c r="B6" s="186"/>
      <c r="C6" s="55" t="s">
        <v>69</v>
      </c>
      <c r="D6" s="26" t="str">
        <f>IF(AND(NOT(ISBLANK(PartnerType)),OR(NOT(ConfigureMailboxes=FALSE),ISBLANK(ConfigureMailboxes))),"DSV_"&amp;UserAccount&amp;"_mb","")</f>
        <v/>
      </c>
    </row>
    <row r="7" spans="1:9" x14ac:dyDescent="0.25">
      <c r="A7" s="184"/>
      <c r="B7" s="187"/>
      <c r="C7" s="55" t="s">
        <v>81</v>
      </c>
      <c r="D7" s="26" t="str">
        <f>IF(AND(NOT(ISBLANK(PartnerType)),OR(NOT(ConfigureMailboxes=FALSE),ISBLANK(ConfigureMailboxes))),"Root mailbox for "&amp;PartnerName,"")</f>
        <v/>
      </c>
    </row>
    <row r="8" spans="1:9" x14ac:dyDescent="0.25">
      <c r="A8" s="54">
        <v>2</v>
      </c>
      <c r="B8" s="55" t="s">
        <v>108</v>
      </c>
      <c r="C8" s="55" t="s">
        <v>93</v>
      </c>
      <c r="D8" s="26" t="str">
        <f>IF(AND(NOT(ISBLANK(PartnerType)),OR(NOT(ConfigureMailboxes=FALSE),ISBLANK(ConfigureMailboxes))),"Mailbox Administrators","")</f>
        <v/>
      </c>
    </row>
    <row r="9" spans="1:9" x14ac:dyDescent="0.25">
      <c r="A9" s="54">
        <v>3</v>
      </c>
      <c r="B9" s="55" t="s">
        <v>109</v>
      </c>
      <c r="C9" s="55" t="s">
        <v>110</v>
      </c>
      <c r="D9" s="26" t="str">
        <f>IF(AND(NOT(ISBLANK(PartnerType)),OR(NOT(ConfigureMailboxes=FALSE),ISBLANK(ConfigureMailboxes))),UserAccount,"")</f>
        <v/>
      </c>
    </row>
    <row r="12" spans="1:9" x14ac:dyDescent="0.25">
      <c r="A12" s="16" t="s">
        <v>111</v>
      </c>
      <c r="F12" s="16" t="s">
        <v>318</v>
      </c>
      <c r="I12" s="25"/>
    </row>
    <row r="13" spans="1:9" x14ac:dyDescent="0.25">
      <c r="A13" s="23" t="s">
        <v>67</v>
      </c>
      <c r="B13" s="72" t="s">
        <v>68</v>
      </c>
      <c r="C13" s="72" t="s">
        <v>59</v>
      </c>
      <c r="D13" s="35" t="s">
        <v>60</v>
      </c>
      <c r="F13" s="23" t="s">
        <v>67</v>
      </c>
      <c r="G13" s="72" t="s">
        <v>68</v>
      </c>
      <c r="H13" s="72" t="s">
        <v>59</v>
      </c>
      <c r="I13" s="35" t="s">
        <v>60</v>
      </c>
    </row>
    <row r="14" spans="1:9" x14ac:dyDescent="0.25">
      <c r="A14" s="182">
        <v>1</v>
      </c>
      <c r="B14" s="185" t="s">
        <v>69</v>
      </c>
      <c r="C14" s="55" t="s">
        <v>107</v>
      </c>
      <c r="D14" s="26" t="str">
        <f>IF(AND(NOT(ISBLANK(PartnerType)),OR(NOT(ConfigureMailboxes=FALSE),ISBLANK(ConfigureMailboxes))),CONCATENATE(PartnerTypeRootMailbox,"/DSV_",UserAccount,"_mb"),"")</f>
        <v/>
      </c>
      <c r="F14" s="182">
        <v>1</v>
      </c>
      <c r="G14" s="185" t="s">
        <v>69</v>
      </c>
      <c r="H14" s="55" t="s">
        <v>107</v>
      </c>
      <c r="I14" s="26" t="str">
        <f>IF(AND(NOT(ISBLANK(PartnerType)),OR(NOT(ConfigureMailboxes=FALSE),ISBLANK(ConfigureMailboxes))),CONCATENATE(PartnerTypeRootMailbox,"/DSV_",UserAccount,"_mb"),"")</f>
        <v/>
      </c>
    </row>
    <row r="15" spans="1:9" x14ac:dyDescent="0.25">
      <c r="A15" s="183"/>
      <c r="B15" s="186"/>
      <c r="C15" s="55" t="s">
        <v>69</v>
      </c>
      <c r="D15" s="26" t="str">
        <f>IF(AND(NOT(ISBLANK(PartnerType)),OR(NOT(ConfigureMailboxes=FALSE),ISBLANK(ConfigureMailboxes))),"inbox","")</f>
        <v/>
      </c>
      <c r="F15" s="183"/>
      <c r="G15" s="186"/>
      <c r="H15" s="55" t="s">
        <v>69</v>
      </c>
      <c r="I15" s="26" t="str">
        <f>IF(AND(NOT(ISBLANK(PartnerType)),OR(NOT(ConfigureMailboxes=FALSE),ISBLANK(ConfigureMailboxes))),"inbox_history","")</f>
        <v/>
      </c>
    </row>
    <row r="16" spans="1:9" x14ac:dyDescent="0.25">
      <c r="A16" s="184"/>
      <c r="B16" s="187"/>
      <c r="C16" s="55" t="s">
        <v>81</v>
      </c>
      <c r="D16" s="26" t="str">
        <f>IF(AND(NOT(ISBLANK(PartnerType)),OR(NOT(ConfigureMailboxes=FALSE),ISBLANK(ConfigureMailboxes))),"Inbox for "&amp;PartnerName,"")</f>
        <v/>
      </c>
      <c r="F16" s="184"/>
      <c r="G16" s="187"/>
      <c r="H16" s="55" t="s">
        <v>81</v>
      </c>
      <c r="I16" s="26" t="str">
        <f>IF(AND(NOT(ISBLANK(PartnerType)),OR(NOT(ConfigureMailboxes=FALSE),ISBLANK(ConfigureMailboxes))),"History Inbox for "&amp;PartnerName,"")</f>
        <v/>
      </c>
    </row>
    <row r="17" spans="1:9" x14ac:dyDescent="0.25">
      <c r="A17" s="54">
        <v>2</v>
      </c>
      <c r="B17" s="55" t="s">
        <v>108</v>
      </c>
      <c r="C17" s="55" t="s">
        <v>93</v>
      </c>
      <c r="D17" s="26" t="str">
        <f>IF(AND(NOT(ISBLANK(PartnerType)),OR(NOT(ConfigureMailboxes=FALSE),ISBLANK(ConfigureMailboxes))),"Mailbox Administrators","")</f>
        <v/>
      </c>
      <c r="F17" s="54">
        <v>2</v>
      </c>
      <c r="G17" s="55" t="s">
        <v>108</v>
      </c>
      <c r="H17" s="55" t="s">
        <v>93</v>
      </c>
      <c r="I17" s="26" t="str">
        <f>IF(AND(NOT(ISBLANK(PartnerType)),OR(NOT(ConfigureMailboxes=FALSE),ISBLANK(ConfigureMailboxes))),"Mailbox Administrators","")</f>
        <v/>
      </c>
    </row>
    <row r="18" spans="1:9" x14ac:dyDescent="0.25">
      <c r="A18" s="54">
        <v>3</v>
      </c>
      <c r="B18" s="55" t="s">
        <v>109</v>
      </c>
      <c r="C18" s="55" t="s">
        <v>110</v>
      </c>
      <c r="D18" s="26" t="str">
        <f>IF(AND(NOT(ISBLANK(PartnerType)),OR(NOT(ConfigureMailboxes=FALSE),ISBLANK(ConfigureMailboxes))),UserAccount,"")</f>
        <v/>
      </c>
      <c r="F18" s="54">
        <v>3</v>
      </c>
      <c r="G18" s="55" t="s">
        <v>109</v>
      </c>
      <c r="H18" s="55" t="s">
        <v>110</v>
      </c>
      <c r="I18" s="26" t="str">
        <f>IF(AND(NOT(ISBLANK(PartnerType)),OR(NOT(ConfigureMailboxes=FALSE),ISBLANK(ConfigureMailboxes))),UserAccount,"")</f>
        <v/>
      </c>
    </row>
    <row r="21" spans="1:9" x14ac:dyDescent="0.25">
      <c r="A21" s="16" t="s">
        <v>112</v>
      </c>
      <c r="F21" s="16" t="s">
        <v>319</v>
      </c>
      <c r="I21" s="25"/>
    </row>
    <row r="22" spans="1:9" x14ac:dyDescent="0.25">
      <c r="A22" s="23" t="s">
        <v>67</v>
      </c>
      <c r="B22" s="72" t="s">
        <v>68</v>
      </c>
      <c r="C22" s="72" t="s">
        <v>59</v>
      </c>
      <c r="D22" s="35" t="s">
        <v>60</v>
      </c>
      <c r="F22" s="23" t="s">
        <v>67</v>
      </c>
      <c r="G22" s="72" t="s">
        <v>68</v>
      </c>
      <c r="H22" s="72" t="s">
        <v>59</v>
      </c>
      <c r="I22" s="35" t="s">
        <v>60</v>
      </c>
    </row>
    <row r="23" spans="1:9" x14ac:dyDescent="0.25">
      <c r="A23" s="182">
        <v>1</v>
      </c>
      <c r="B23" s="185" t="s">
        <v>69</v>
      </c>
      <c r="C23" s="55" t="s">
        <v>107</v>
      </c>
      <c r="D23" s="26" t="str">
        <f>IF(AND(NOT(ISBLANK(PartnerType)),OR(NOT(ConfigureMailboxes=FALSE),ISBLANK(ConfigureMailboxes))),CONCATENATE(PartnerTypeRootMailbox,"/DSV_",UserAccount,"_mb"),"")</f>
        <v/>
      </c>
      <c r="F23" s="182">
        <v>1</v>
      </c>
      <c r="G23" s="185" t="s">
        <v>69</v>
      </c>
      <c r="H23" s="55" t="s">
        <v>107</v>
      </c>
      <c r="I23" s="26" t="str">
        <f>IF(AND(NOT(ISBLANK(PartnerType)),OR(NOT(ConfigureMailboxes=FALSE),ISBLANK(ConfigureMailboxes))),CONCATENATE(PartnerTypeRootMailbox,"/DSV_",UserAccount,"_mb"),"")</f>
        <v/>
      </c>
    </row>
    <row r="24" spans="1:9" x14ac:dyDescent="0.25">
      <c r="A24" s="183"/>
      <c r="B24" s="186"/>
      <c r="C24" s="55" t="s">
        <v>69</v>
      </c>
      <c r="D24" s="26" t="str">
        <f>IF(AND(NOT(ISBLANK(PartnerType)),OR(NOT(ConfigureMailboxes=FALSE),ISBLANK(ConfigureMailboxes))),"outbox","")</f>
        <v/>
      </c>
      <c r="F24" s="183"/>
      <c r="G24" s="186"/>
      <c r="H24" s="55" t="s">
        <v>69</v>
      </c>
      <c r="I24" s="26" t="str">
        <f>IF(AND(NOT(ISBLANK(PartnerType)),OR(NOT(ConfigureMailboxes=FALSE),ISBLANK(ConfigureMailboxes))),"outbox_history","")</f>
        <v/>
      </c>
    </row>
    <row r="25" spans="1:9" x14ac:dyDescent="0.25">
      <c r="A25" s="184"/>
      <c r="B25" s="187"/>
      <c r="C25" s="55" t="s">
        <v>81</v>
      </c>
      <c r="D25" s="26" t="str">
        <f>IF(AND(NOT(ISBLANK(PartnerType)),OR(NOT(ConfigureMailboxes=FALSE),ISBLANK(ConfigureMailboxes))),"Outbox for "&amp;PartnerName,"")</f>
        <v/>
      </c>
      <c r="F25" s="184"/>
      <c r="G25" s="187"/>
      <c r="H25" s="55" t="s">
        <v>81</v>
      </c>
      <c r="I25" s="26" t="str">
        <f>IF(AND(NOT(ISBLANK(PartnerType)),OR(NOT(ConfigureMailboxes=FALSE),ISBLANK(ConfigureMailboxes))),"History Outbox for "&amp;PartnerName,"")</f>
        <v/>
      </c>
    </row>
    <row r="26" spans="1:9" x14ac:dyDescent="0.25">
      <c r="A26" s="54">
        <v>2</v>
      </c>
      <c r="B26" s="55" t="s">
        <v>108</v>
      </c>
      <c r="C26" s="55" t="s">
        <v>93</v>
      </c>
      <c r="D26" s="26" t="str">
        <f>IF(AND(NOT(ISBLANK(PartnerType)),OR(NOT(ConfigureMailboxes=FALSE),ISBLANK(ConfigureMailboxes))),"Mailbox Administrators","")</f>
        <v/>
      </c>
      <c r="F26" s="54">
        <v>2</v>
      </c>
      <c r="G26" s="55" t="s">
        <v>108</v>
      </c>
      <c r="H26" s="55" t="s">
        <v>93</v>
      </c>
      <c r="I26" s="26" t="str">
        <f>IF(AND(NOT(ISBLANK(PartnerType)),OR(NOT(ConfigureMailboxes=FALSE),ISBLANK(ConfigureMailboxes))),"Mailbox Administrators","")</f>
        <v/>
      </c>
    </row>
    <row r="27" spans="1:9" x14ac:dyDescent="0.25">
      <c r="A27" s="54">
        <v>3</v>
      </c>
      <c r="B27" s="55" t="s">
        <v>109</v>
      </c>
      <c r="C27" s="55" t="s">
        <v>110</v>
      </c>
      <c r="D27" s="26" t="str">
        <f>IF(AND(NOT(ISBLANK(PartnerType)),OR(NOT(ConfigureMailboxes=FALSE),ISBLANK(ConfigureMailboxes))),UserAccount,"")</f>
        <v/>
      </c>
      <c r="F27" s="54">
        <v>3</v>
      </c>
      <c r="G27" s="55" t="s">
        <v>109</v>
      </c>
      <c r="H27" s="55" t="s">
        <v>110</v>
      </c>
      <c r="I27" s="26" t="str">
        <f>IF(AND(NOT(ISBLANK(PartnerType)),OR(NOT(ConfigureMailboxes=FALSE),ISBLANK(ConfigureMailboxes))),UserAccount,"")</f>
        <v/>
      </c>
    </row>
    <row r="30" spans="1:9" ht="15.75" thickBot="1" x14ac:dyDescent="0.3"/>
    <row r="31" spans="1:9" s="66" customFormat="1" ht="16.5" thickTop="1" thickBot="1" x14ac:dyDescent="0.3">
      <c r="B31" s="63"/>
      <c r="C31" s="63"/>
      <c r="D31" s="67"/>
      <c r="G31" s="63"/>
      <c r="H31" s="63"/>
    </row>
    <row r="32" spans="1:9" ht="15.75" thickTop="1" x14ac:dyDescent="0.25"/>
    <row r="33" spans="1:9" x14ac:dyDescent="0.25">
      <c r="A33" s="23" t="s">
        <v>320</v>
      </c>
    </row>
    <row r="35" spans="1:9" x14ac:dyDescent="0.25">
      <c r="A35" s="16" t="s">
        <v>321</v>
      </c>
    </row>
    <row r="36" spans="1:9" x14ac:dyDescent="0.25">
      <c r="A36" s="23" t="s">
        <v>67</v>
      </c>
      <c r="B36" s="72" t="s">
        <v>68</v>
      </c>
      <c r="C36" s="72" t="s">
        <v>59</v>
      </c>
      <c r="D36" s="35" t="s">
        <v>60</v>
      </c>
    </row>
    <row r="37" spans="1:9" x14ac:dyDescent="0.25">
      <c r="A37" s="182">
        <v>1</v>
      </c>
      <c r="B37" s="185" t="s">
        <v>69</v>
      </c>
      <c r="C37" s="55" t="s">
        <v>107</v>
      </c>
      <c r="D37" s="26" t="str">
        <f>IF(AND(NOT(ISBLANK(PartnerType)),OR(NOT(ConfigureMailboxes=FALSE),ISBLANK(ConfigureMailboxes))),"/DSV_DELAY_mb","")</f>
        <v/>
      </c>
    </row>
    <row r="38" spans="1:9" x14ac:dyDescent="0.25">
      <c r="A38" s="183"/>
      <c r="B38" s="186"/>
      <c r="C38" s="55" t="s">
        <v>69</v>
      </c>
      <c r="D38" s="26" t="str">
        <f>IF(AND(NOT(ISBLANK(PartnerType)),OR(NOT(ConfigureMailboxes=FALSE),ISBLANK(ConfigureMailboxes))),"DSV_"&amp;UserAccount&amp;"_mb","")</f>
        <v/>
      </c>
    </row>
    <row r="39" spans="1:9" x14ac:dyDescent="0.25">
      <c r="A39" s="184"/>
      <c r="B39" s="187"/>
      <c r="C39" s="55" t="s">
        <v>81</v>
      </c>
      <c r="D39" s="26" t="str">
        <f>IF(AND(NOT(ISBLANK(PartnerType)),OR(NOT(ConfigureMailboxes=FALSE),ISBLANK(ConfigureMailboxes))),"Root delay mailbox for "&amp;PartnerName,"")</f>
        <v/>
      </c>
    </row>
    <row r="40" spans="1:9" x14ac:dyDescent="0.25">
      <c r="A40" s="54">
        <v>2</v>
      </c>
      <c r="B40" s="55" t="s">
        <v>108</v>
      </c>
      <c r="C40" s="55" t="s">
        <v>93</v>
      </c>
      <c r="D40" s="26" t="str">
        <f>IF(AND(NOT(ISBLANK(PartnerType)),OR(NOT(ConfigureMailboxes=FALSE),ISBLANK(ConfigureMailboxes))),"Mailbox Administrators","")</f>
        <v/>
      </c>
    </row>
    <row r="41" spans="1:9" x14ac:dyDescent="0.25">
      <c r="A41" s="54">
        <v>3</v>
      </c>
      <c r="B41" s="55" t="s">
        <v>109</v>
      </c>
      <c r="C41" s="55" t="s">
        <v>110</v>
      </c>
      <c r="D41" s="71" t="str">
        <f>IF(AND(NOT(ISBLANK(PartnerType)),OR(NOT(ConfigureMailboxes=FALSE),ISBLANK(ConfigureMailboxes))),"&lt;Leave blank&gt;","")</f>
        <v/>
      </c>
    </row>
    <row r="44" spans="1:9" x14ac:dyDescent="0.25">
      <c r="A44" s="16" t="s">
        <v>111</v>
      </c>
      <c r="F44" s="16" t="s">
        <v>318</v>
      </c>
      <c r="I44" s="25"/>
    </row>
    <row r="45" spans="1:9" x14ac:dyDescent="0.25">
      <c r="A45" s="23" t="s">
        <v>67</v>
      </c>
      <c r="B45" s="72" t="s">
        <v>68</v>
      </c>
      <c r="C45" s="72" t="s">
        <v>59</v>
      </c>
      <c r="D45" s="35" t="s">
        <v>60</v>
      </c>
      <c r="F45" s="23" t="s">
        <v>67</v>
      </c>
      <c r="G45" s="72" t="s">
        <v>68</v>
      </c>
      <c r="H45" s="72" t="s">
        <v>59</v>
      </c>
      <c r="I45" s="35" t="s">
        <v>60</v>
      </c>
    </row>
    <row r="46" spans="1:9" x14ac:dyDescent="0.25">
      <c r="A46" s="182">
        <v>1</v>
      </c>
      <c r="B46" s="185" t="s">
        <v>69</v>
      </c>
      <c r="C46" s="55" t="s">
        <v>107</v>
      </c>
      <c r="D46" s="26" t="str">
        <f>IF(AND(NOT(ISBLANK(PartnerType)),OR(NOT(ConfigureMailboxes=FALSE),ISBLANK(ConfigureMailboxes))),CONCATENATE(DelayRootMailbox,"/DSV_",UserAccount,"_mb"),"")</f>
        <v/>
      </c>
      <c r="F46" s="182">
        <v>1</v>
      </c>
      <c r="G46" s="185" t="s">
        <v>69</v>
      </c>
      <c r="H46" s="55" t="s">
        <v>107</v>
      </c>
      <c r="I46" s="26" t="str">
        <f>IF(AND(NOT(ISBLANK(PartnerType)),OR(NOT(ConfigureMailboxes=FALSE),ISBLANK(ConfigureMailboxes))),CONCATENATE("/DSV_DELAY_mb/DSV_",UserAccount,"_mb"),"")</f>
        <v/>
      </c>
    </row>
    <row r="47" spans="1:9" x14ac:dyDescent="0.25">
      <c r="A47" s="183"/>
      <c r="B47" s="186"/>
      <c r="C47" s="55" t="s">
        <v>69</v>
      </c>
      <c r="D47" s="26" t="str">
        <f>IF(AND(NOT(ISBLANK(PartnerType)),OR(NOT(ConfigureMailboxes=FALSE),ISBLANK(ConfigureMailboxes))),"inbox","")</f>
        <v/>
      </c>
      <c r="F47" s="183"/>
      <c r="G47" s="186"/>
      <c r="H47" s="55" t="s">
        <v>69</v>
      </c>
      <c r="I47" s="26" t="str">
        <f>IF(AND(NOT(ISBLANK(PartnerType)),OR(NOT(ConfigureMailboxes=FALSE),ISBLANK(ConfigureMailboxes))),"inbox_history","")</f>
        <v/>
      </c>
    </row>
    <row r="48" spans="1:9" x14ac:dyDescent="0.25">
      <c r="A48" s="184"/>
      <c r="B48" s="187"/>
      <c r="C48" s="55" t="s">
        <v>81</v>
      </c>
      <c r="D48" s="26" t="str">
        <f>IF(AND(NOT(ISBLANK(PartnerType)),OR(NOT(ConfigureMailboxes=FALSE),ISBLANK(ConfigureMailboxes))),"Delay inbox for "&amp;PartnerName,"")</f>
        <v/>
      </c>
      <c r="F48" s="184"/>
      <c r="G48" s="187"/>
      <c r="H48" s="55" t="s">
        <v>81</v>
      </c>
      <c r="I48" s="26" t="str">
        <f>IF(AND(NOT(ISBLANK(PartnerType)),OR(NOT(ConfigureMailboxes=FALSE),ISBLANK(ConfigureMailboxes))),"Delay History Inbox for "&amp;PartnerName,"")</f>
        <v/>
      </c>
    </row>
    <row r="49" spans="1:9" x14ac:dyDescent="0.25">
      <c r="A49" s="54">
        <v>2</v>
      </c>
      <c r="B49" s="55" t="s">
        <v>108</v>
      </c>
      <c r="C49" s="55" t="s">
        <v>93</v>
      </c>
      <c r="D49" s="26" t="str">
        <f>IF(AND(NOT(ISBLANK(PartnerType)),OR(NOT(ConfigureMailboxes=FALSE),ISBLANK(ConfigureMailboxes))),"Mailbox Administrators","")</f>
        <v/>
      </c>
      <c r="F49" s="54">
        <v>2</v>
      </c>
      <c r="G49" s="55" t="s">
        <v>108</v>
      </c>
      <c r="H49" s="55" t="s">
        <v>93</v>
      </c>
      <c r="I49" s="26" t="str">
        <f>IF(AND(NOT(ISBLANK(PartnerType)),OR(NOT(ConfigureMailboxes=FALSE),ISBLANK(ConfigureMailboxes))),"Mailbox Administrators","")</f>
        <v/>
      </c>
    </row>
    <row r="50" spans="1:9" x14ac:dyDescent="0.25">
      <c r="A50" s="54">
        <v>3</v>
      </c>
      <c r="B50" s="55" t="s">
        <v>109</v>
      </c>
      <c r="C50" s="55" t="s">
        <v>110</v>
      </c>
      <c r="D50" s="71" t="str">
        <f>IF(AND(NOT(ISBLANK(PartnerType)),OR(NOT(ConfigureMailboxes=FALSE),ISBLANK(ConfigureMailboxes))),"&lt;Leave blank&gt;","")</f>
        <v/>
      </c>
      <c r="F50" s="54">
        <v>3</v>
      </c>
      <c r="G50" s="55" t="s">
        <v>109</v>
      </c>
      <c r="H50" s="55" t="s">
        <v>110</v>
      </c>
      <c r="I50" s="71" t="str">
        <f>IF(AND(NOT(ISBLANK(PartnerType)),OR(NOT(ConfigureMailboxes=FALSE),ISBLANK(ConfigureMailboxes))),"&lt;Leave blank&gt;","")</f>
        <v/>
      </c>
    </row>
    <row r="53" spans="1:9" x14ac:dyDescent="0.25">
      <c r="A53" s="16" t="s">
        <v>112</v>
      </c>
      <c r="F53" s="16" t="s">
        <v>319</v>
      </c>
      <c r="I53" s="25"/>
    </row>
    <row r="54" spans="1:9" x14ac:dyDescent="0.25">
      <c r="A54" s="23" t="s">
        <v>67</v>
      </c>
      <c r="B54" s="72" t="s">
        <v>68</v>
      </c>
      <c r="C54" s="72" t="s">
        <v>59</v>
      </c>
      <c r="D54" s="35" t="s">
        <v>60</v>
      </c>
      <c r="F54" s="23" t="s">
        <v>67</v>
      </c>
      <c r="G54" s="72" t="s">
        <v>68</v>
      </c>
      <c r="H54" s="72" t="s">
        <v>59</v>
      </c>
      <c r="I54" s="35" t="s">
        <v>60</v>
      </c>
    </row>
    <row r="55" spans="1:9" x14ac:dyDescent="0.25">
      <c r="A55" s="182">
        <v>1</v>
      </c>
      <c r="B55" s="185" t="s">
        <v>69</v>
      </c>
      <c r="C55" s="55" t="s">
        <v>107</v>
      </c>
      <c r="D55" s="26" t="str">
        <f>IF(AND(NOT(ISBLANK(PartnerType)),OR(NOT(ConfigureMailboxes=FALSE),ISBLANK(ConfigureMailboxes))),CONCATENATE("/DSV_DELAY_mb/DSV_",UserAccount,"_mb"),"")</f>
        <v/>
      </c>
      <c r="F55" s="182">
        <v>1</v>
      </c>
      <c r="G55" s="185" t="s">
        <v>69</v>
      </c>
      <c r="H55" s="55" t="s">
        <v>107</v>
      </c>
      <c r="I55" s="26" t="str">
        <f>IF(AND(NOT(ISBLANK(PartnerType)),OR(NOT(ConfigureMailboxes=FALSE),ISBLANK(ConfigureMailboxes))),CONCATENATE("/DSV_DELAY_mb/DSV_",UserAccount,"_mb"),"")</f>
        <v/>
      </c>
    </row>
    <row r="56" spans="1:9" x14ac:dyDescent="0.25">
      <c r="A56" s="183"/>
      <c r="B56" s="186"/>
      <c r="C56" s="55" t="s">
        <v>69</v>
      </c>
      <c r="D56" s="26" t="str">
        <f>IF(AND(NOT(ISBLANK(PartnerType)),OR(NOT(ConfigureMailboxes=FALSE),ISBLANK(ConfigureMailboxes))),"outbox","")</f>
        <v/>
      </c>
      <c r="F56" s="183"/>
      <c r="G56" s="186"/>
      <c r="H56" s="55" t="s">
        <v>69</v>
      </c>
      <c r="I56" s="26" t="str">
        <f>IF(AND(NOT(ISBLANK(PartnerType)),OR(NOT(ConfigureMailboxes=FALSE),ISBLANK(ConfigureMailboxes))),"outbox_history","")</f>
        <v/>
      </c>
    </row>
    <row r="57" spans="1:9" x14ac:dyDescent="0.25">
      <c r="A57" s="184"/>
      <c r="B57" s="187"/>
      <c r="C57" s="55" t="s">
        <v>81</v>
      </c>
      <c r="D57" s="26" t="str">
        <f>IF(AND(NOT(ISBLANK(PartnerType)),OR(NOT(ConfigureMailboxes=FALSE),ISBLANK(ConfigureMailboxes))),"Delay outbox for "&amp;PartnerName,"")</f>
        <v/>
      </c>
      <c r="F57" s="184"/>
      <c r="G57" s="187"/>
      <c r="H57" s="55" t="s">
        <v>81</v>
      </c>
      <c r="I57" s="26" t="str">
        <f>IF(AND(NOT(ISBLANK(PartnerType)),OR(NOT(ConfigureMailboxes=FALSE),ISBLANK(ConfigureMailboxes))),"Delay History Outbox for "&amp;PartnerName,"")</f>
        <v/>
      </c>
    </row>
    <row r="58" spans="1:9" x14ac:dyDescent="0.25">
      <c r="A58" s="54">
        <v>2</v>
      </c>
      <c r="B58" s="55" t="s">
        <v>108</v>
      </c>
      <c r="C58" s="55" t="s">
        <v>93</v>
      </c>
      <c r="D58" s="26" t="str">
        <f>IF(AND(NOT(ISBLANK(PartnerType)),OR(NOT(ConfigureMailboxes=FALSE),ISBLANK(ConfigureMailboxes))),"Mailbox Administrators","")</f>
        <v/>
      </c>
      <c r="F58" s="54">
        <v>2</v>
      </c>
      <c r="G58" s="55" t="s">
        <v>108</v>
      </c>
      <c r="H58" s="55" t="s">
        <v>93</v>
      </c>
      <c r="I58" s="26" t="str">
        <f>IF(AND(NOT(ISBLANK(PartnerType)),OR(NOT(ConfigureMailboxes=FALSE),ISBLANK(ConfigureMailboxes))),"Mailbox Administrators","")</f>
        <v/>
      </c>
    </row>
    <row r="59" spans="1:9" x14ac:dyDescent="0.25">
      <c r="A59" s="54">
        <v>3</v>
      </c>
      <c r="B59" s="55" t="s">
        <v>109</v>
      </c>
      <c r="C59" s="55" t="s">
        <v>110</v>
      </c>
      <c r="D59" s="71" t="str">
        <f>IF(AND(NOT(ISBLANK(PartnerType)),OR(NOT(ConfigureMailboxes=FALSE),ISBLANK(ConfigureMailboxes))),"&lt;Leave blank&gt;","")</f>
        <v/>
      </c>
      <c r="F59" s="54">
        <v>3</v>
      </c>
      <c r="G59" s="55" t="s">
        <v>109</v>
      </c>
      <c r="H59" s="55" t="s">
        <v>110</v>
      </c>
      <c r="I59" s="71" t="str">
        <f>IF(AND(NOT(ISBLANK(PartnerType)),OR(NOT(ConfigureMailboxes=FALSE),ISBLANK(ConfigureMailboxes))),"&lt;Leave blank&gt;","")</f>
        <v/>
      </c>
    </row>
    <row r="63" spans="1:9" x14ac:dyDescent="0.25">
      <c r="A63" s="23" t="s">
        <v>322</v>
      </c>
      <c r="B63" s="73"/>
    </row>
    <row r="65" spans="1:9" x14ac:dyDescent="0.25">
      <c r="A65" s="16" t="s">
        <v>111</v>
      </c>
      <c r="F65" s="16" t="s">
        <v>318</v>
      </c>
      <c r="I65" s="25"/>
    </row>
    <row r="66" spans="1:9" x14ac:dyDescent="0.25">
      <c r="A66" s="23" t="s">
        <v>67</v>
      </c>
      <c r="B66" s="72" t="s">
        <v>68</v>
      </c>
      <c r="C66" s="72" t="s">
        <v>59</v>
      </c>
      <c r="D66" s="35" t="s">
        <v>60</v>
      </c>
      <c r="F66" s="23" t="s">
        <v>67</v>
      </c>
      <c r="G66" s="72" t="s">
        <v>68</v>
      </c>
      <c r="H66" s="72" t="s">
        <v>59</v>
      </c>
      <c r="I66" s="35" t="s">
        <v>60</v>
      </c>
    </row>
    <row r="67" spans="1:9" x14ac:dyDescent="0.25">
      <c r="A67" s="182">
        <v>1</v>
      </c>
      <c r="B67" s="185" t="s">
        <v>69</v>
      </c>
      <c r="C67" s="55" t="s">
        <v>107</v>
      </c>
      <c r="D67" s="26" t="str">
        <f>IF(AND(NOT(ISBLANK(PartnerType)),OR(NOT(ConfigureMailboxes=FALSE),ISBLANK(ConfigureMailboxes)),NOT(ISBLANK(DelayMailboxMessageType1))),CONCATENATE(DelayRootMailbox,"/DSV_",UserAccount,"_mb/inbox"),"")</f>
        <v/>
      </c>
      <c r="F67" s="182">
        <v>1</v>
      </c>
      <c r="G67" s="185" t="s">
        <v>69</v>
      </c>
      <c r="H67" s="55" t="s">
        <v>107</v>
      </c>
      <c r="I67" s="26" t="str">
        <f>IF(AND(NOT(ISBLANK(PartnerType)),OR(NOT(ConfigureMailboxes=FALSE),ISBLANK(ConfigureMailboxes)),NOT(ISBLANK(DelayMailboxMessageType1))),CONCATENATE("/DSV_DELAY_mb/DSV_",UserAccount,"_mb/inbox_history"),"")</f>
        <v/>
      </c>
    </row>
    <row r="68" spans="1:9" x14ac:dyDescent="0.25">
      <c r="A68" s="183"/>
      <c r="B68" s="186"/>
      <c r="C68" s="55" t="s">
        <v>69</v>
      </c>
      <c r="D68" s="26" t="str">
        <f>IF(AND(NOT(ISBLANK(PartnerType)),OR(NOT(ConfigureMailboxes=FALSE),ISBLANK(ConfigureMailboxes)),NOT(ISBLANK(DelayMailboxMessageType1))),LOWER(DelayMailboxMessageType1),"")</f>
        <v/>
      </c>
      <c r="F68" s="183"/>
      <c r="G68" s="186"/>
      <c r="H68" s="55" t="s">
        <v>69</v>
      </c>
      <c r="I68" s="26" t="str">
        <f>IF(AND(NOT(ISBLANK(PartnerType)),OR(NOT(ConfigureMailboxes=FALSE),ISBLANK(ConfigureMailboxes)),NOT(ISBLANK(DelayMailboxMessageType1))),LOWER(DelayMailboxMessageType1),"")</f>
        <v/>
      </c>
    </row>
    <row r="69" spans="1:9" x14ac:dyDescent="0.25">
      <c r="A69" s="184"/>
      <c r="B69" s="187"/>
      <c r="C69" s="55" t="s">
        <v>81</v>
      </c>
      <c r="D69" s="26" t="str">
        <f>IF(AND(NOT(ISBLANK(PartnerType)),OR(NOT(ConfigureMailboxes=FALSE),ISBLANK(ConfigureMailboxes)),NOT(ISBLANK(DelayMailboxMessageType1))),"Inbox for "&amp;PartnerName,"")</f>
        <v/>
      </c>
      <c r="F69" s="184"/>
      <c r="G69" s="187"/>
      <c r="H69" s="55" t="s">
        <v>81</v>
      </c>
      <c r="I69" s="26" t="str">
        <f>IF(AND(NOT(ISBLANK(PartnerType)),OR(NOT(ConfigureMailboxes=FALSE),ISBLANK(ConfigureMailboxes)),NOT(ISBLANK(DelayMailboxMessageType1))),"History Inbox for "&amp;PartnerName,"")</f>
        <v/>
      </c>
    </row>
    <row r="70" spans="1:9" x14ac:dyDescent="0.25">
      <c r="A70" s="54">
        <v>2</v>
      </c>
      <c r="B70" s="55" t="s">
        <v>108</v>
      </c>
      <c r="C70" s="55" t="s">
        <v>93</v>
      </c>
      <c r="D70" s="26" t="str">
        <f>IF(AND(NOT(ISBLANK(PartnerType)),OR(NOT(ConfigureMailboxes=FALSE),ISBLANK(ConfigureMailboxes)),NOT(ISBLANK(DelayMailboxMessageType1))),"Mailbox Administrators","")</f>
        <v/>
      </c>
      <c r="F70" s="54">
        <v>2</v>
      </c>
      <c r="G70" s="55" t="s">
        <v>108</v>
      </c>
      <c r="H70" s="55" t="s">
        <v>93</v>
      </c>
      <c r="I70" s="26" t="str">
        <f>IF(AND(NOT(ISBLANK(PartnerType)),OR(NOT(ConfigureMailboxes=FALSE),ISBLANK(ConfigureMailboxes)),NOT(ISBLANK(DelayMailboxMessageType1))),"Mailbox Administrators","")</f>
        <v/>
      </c>
    </row>
    <row r="71" spans="1:9" x14ac:dyDescent="0.25">
      <c r="A71" s="54">
        <v>3</v>
      </c>
      <c r="B71" s="55" t="s">
        <v>109</v>
      </c>
      <c r="C71" s="55" t="s">
        <v>110</v>
      </c>
      <c r="D71" s="71" t="str">
        <f>IF(AND(NOT(ISBLANK(PartnerType)),OR(NOT(ConfigureMailboxes=FALSE),ISBLANK(ConfigureMailboxes)),NOT(ISBLANK(DelayMailboxMessageType1))),"&lt;Leave blank&gt;","")</f>
        <v/>
      </c>
      <c r="F71" s="54">
        <v>3</v>
      </c>
      <c r="G71" s="55" t="s">
        <v>109</v>
      </c>
      <c r="H71" s="55" t="s">
        <v>110</v>
      </c>
      <c r="I71" s="71" t="str">
        <f>IF(AND(NOT(ISBLANK(PartnerType)),OR(NOT(ConfigureMailboxes=FALSE),ISBLANK(ConfigureMailboxes)),NOT(ISBLANK(DelayMailboxMessageType1))),"&lt;Leave blank&gt;","")</f>
        <v/>
      </c>
    </row>
    <row r="74" spans="1:9" x14ac:dyDescent="0.25">
      <c r="A74" s="16" t="s">
        <v>112</v>
      </c>
      <c r="F74" s="16" t="s">
        <v>319</v>
      </c>
      <c r="I74" s="25"/>
    </row>
    <row r="75" spans="1:9" x14ac:dyDescent="0.25">
      <c r="A75" s="23" t="s">
        <v>67</v>
      </c>
      <c r="B75" s="72" t="s">
        <v>68</v>
      </c>
      <c r="C75" s="72" t="s">
        <v>59</v>
      </c>
      <c r="D75" s="35" t="s">
        <v>60</v>
      </c>
      <c r="F75" s="23" t="s">
        <v>67</v>
      </c>
      <c r="G75" s="72" t="s">
        <v>68</v>
      </c>
      <c r="H75" s="72" t="s">
        <v>59</v>
      </c>
      <c r="I75" s="35" t="s">
        <v>60</v>
      </c>
    </row>
    <row r="76" spans="1:9" x14ac:dyDescent="0.25">
      <c r="A76" s="182">
        <v>1</v>
      </c>
      <c r="B76" s="185" t="s">
        <v>69</v>
      </c>
      <c r="C76" s="55" t="s">
        <v>107</v>
      </c>
      <c r="D76" s="26" t="str">
        <f>IF(AND(NOT(ISBLANK(PartnerType)),OR(NOT(ConfigureMailboxes=FALSE),ISBLANK(ConfigureMailboxes)),NOT(ISBLANK(DelayMailboxMessageType1))),CONCATENATE("/DSV_DELAY_mb/DSV_",UserAccount,"_mb/outbox"),"")</f>
        <v/>
      </c>
      <c r="F76" s="182">
        <v>1</v>
      </c>
      <c r="G76" s="185" t="s">
        <v>69</v>
      </c>
      <c r="H76" s="55" t="s">
        <v>107</v>
      </c>
      <c r="I76" s="26" t="str">
        <f>IF(AND(NOT(ISBLANK(PartnerType)),OR(NOT(ConfigureMailboxes=FALSE),ISBLANK(ConfigureMailboxes)),NOT(ISBLANK(DelayMailboxMessageType1))),CONCATENATE("/DSV_DELAY_mb/DSV_",UserAccount,"_mb/outbox_history"),"")</f>
        <v/>
      </c>
    </row>
    <row r="77" spans="1:9" x14ac:dyDescent="0.25">
      <c r="A77" s="183"/>
      <c r="B77" s="186"/>
      <c r="C77" s="55" t="s">
        <v>69</v>
      </c>
      <c r="D77" s="26" t="str">
        <f>IF(AND(NOT(ISBLANK(PartnerType)),OR(NOT(ConfigureMailboxes=FALSE),ISBLANK(ConfigureMailboxes)),NOT(ISBLANK(DelayMailboxMessageType1))),LOWER(DelayMailboxMessageType1),"")</f>
        <v/>
      </c>
      <c r="F77" s="183"/>
      <c r="G77" s="186"/>
      <c r="H77" s="55" t="s">
        <v>69</v>
      </c>
      <c r="I77" s="26" t="str">
        <f>IF(AND(NOT(ISBLANK(PartnerType)),OR(NOT(ConfigureMailboxes=FALSE),ISBLANK(ConfigureMailboxes)),NOT(ISBLANK(DelayMailboxMessageType1))),LOWER(DelayMailboxMessageType1),"")</f>
        <v/>
      </c>
    </row>
    <row r="78" spans="1:9" x14ac:dyDescent="0.25">
      <c r="A78" s="184"/>
      <c r="B78" s="187"/>
      <c r="C78" s="55" t="s">
        <v>81</v>
      </c>
      <c r="D78" s="26" t="str">
        <f>IF(AND(NOT(ISBLANK(PartnerType)),OR(NOT(ConfigureMailboxes=FALSE),ISBLANK(ConfigureMailboxes)),NOT(ISBLANK(DelayMailboxMessageType1))),"Outbox for "&amp;PartnerName,"")</f>
        <v/>
      </c>
      <c r="F78" s="184"/>
      <c r="G78" s="187"/>
      <c r="H78" s="55" t="s">
        <v>81</v>
      </c>
      <c r="I78" s="26" t="str">
        <f>IF(AND(NOT(ISBLANK(PartnerType)),OR(NOT(ConfigureMailboxes=FALSE),ISBLANK(ConfigureMailboxes)),NOT(ISBLANK(DelayMailboxMessageType1))),"History Outbox for "&amp;PartnerName,"")</f>
        <v/>
      </c>
    </row>
    <row r="79" spans="1:9" x14ac:dyDescent="0.25">
      <c r="A79" s="54">
        <v>2</v>
      </c>
      <c r="B79" s="55" t="s">
        <v>108</v>
      </c>
      <c r="C79" s="55" t="s">
        <v>93</v>
      </c>
      <c r="D79" s="26" t="str">
        <f>IF(AND(NOT(ISBLANK(PartnerType)),OR(NOT(ConfigureMailboxes=FALSE),ISBLANK(ConfigureMailboxes)),NOT(ISBLANK(DelayMailboxMessageType1))),"Mailbox Administrators","")</f>
        <v/>
      </c>
      <c r="F79" s="54">
        <v>2</v>
      </c>
      <c r="G79" s="55" t="s">
        <v>108</v>
      </c>
      <c r="H79" s="55" t="s">
        <v>93</v>
      </c>
      <c r="I79" s="26" t="str">
        <f>IF(AND(NOT(ISBLANK(PartnerType)),OR(NOT(ConfigureMailboxes=FALSE),ISBLANK(ConfigureMailboxes)),NOT(ISBLANK(DelayMailboxMessageType1))),"Mailbox Administrators","")</f>
        <v/>
      </c>
    </row>
    <row r="80" spans="1:9" x14ac:dyDescent="0.25">
      <c r="A80" s="54">
        <v>3</v>
      </c>
      <c r="B80" s="55" t="s">
        <v>109</v>
      </c>
      <c r="C80" s="55" t="s">
        <v>110</v>
      </c>
      <c r="D80" s="71" t="str">
        <f>IF(AND(NOT(ISBLANK(PartnerType)),OR(NOT(ConfigureMailboxes=FALSE),ISBLANK(ConfigureMailboxes)),NOT(ISBLANK(DelayMailboxMessageType1))),"&lt;Leave blank&gt;","")</f>
        <v/>
      </c>
      <c r="F80" s="54">
        <v>3</v>
      </c>
      <c r="G80" s="55" t="s">
        <v>109</v>
      </c>
      <c r="H80" s="55" t="s">
        <v>110</v>
      </c>
      <c r="I80" s="71" t="str">
        <f>IF(AND(NOT(ISBLANK(PartnerType)),OR(NOT(ConfigureMailboxes=FALSE),ISBLANK(ConfigureMailboxes)),NOT(ISBLANK(DelayMailboxMessageType1))),"&lt;Leave blank&gt;","")</f>
        <v/>
      </c>
    </row>
    <row r="84" spans="1:9" x14ac:dyDescent="0.25">
      <c r="A84" s="23" t="s">
        <v>323</v>
      </c>
      <c r="B84" s="73"/>
    </row>
    <row r="86" spans="1:9" x14ac:dyDescent="0.25">
      <c r="A86" s="16" t="s">
        <v>111</v>
      </c>
      <c r="F86" s="16" t="s">
        <v>318</v>
      </c>
      <c r="I86" s="25"/>
    </row>
    <row r="87" spans="1:9" x14ac:dyDescent="0.25">
      <c r="A87" s="23" t="s">
        <v>67</v>
      </c>
      <c r="B87" s="72" t="s">
        <v>68</v>
      </c>
      <c r="C87" s="72" t="s">
        <v>59</v>
      </c>
      <c r="D87" s="35" t="s">
        <v>60</v>
      </c>
      <c r="F87" s="23" t="s">
        <v>67</v>
      </c>
      <c r="G87" s="72" t="s">
        <v>68</v>
      </c>
      <c r="H87" s="72" t="s">
        <v>59</v>
      </c>
      <c r="I87" s="35" t="s">
        <v>60</v>
      </c>
    </row>
    <row r="88" spans="1:9" x14ac:dyDescent="0.25">
      <c r="A88" s="182">
        <v>1</v>
      </c>
      <c r="B88" s="185" t="s">
        <v>69</v>
      </c>
      <c r="C88" s="55" t="s">
        <v>107</v>
      </c>
      <c r="D88" s="26" t="str">
        <f>IF(AND(NOT(ISBLANK(PartnerType)),OR(NOT(ConfigureMailboxes=FALSE),ISBLANK(ConfigureMailboxes)),NOT(ISBLANK(DelayMailboxMessageType1))),CONCATENATE(DelayRootMailbox,"/DSV_",UserAccount,"_mb/inbox"),"")</f>
        <v/>
      </c>
      <c r="F88" s="182">
        <v>1</v>
      </c>
      <c r="G88" s="185" t="s">
        <v>69</v>
      </c>
      <c r="H88" s="55" t="s">
        <v>107</v>
      </c>
      <c r="I88" s="26" t="str">
        <f>IF(AND(NOT(ISBLANK(PartnerType)),OR(NOT(ConfigureMailboxes=FALSE),ISBLANK(ConfigureMailboxes)),NOT(ISBLANK(DelayMailboxMessageType1))),CONCATENATE("/DSV_DELAY_mb/DSV_",UserAccount,"_mb/inbox_history"),"")</f>
        <v/>
      </c>
    </row>
    <row r="89" spans="1:9" x14ac:dyDescent="0.25">
      <c r="A89" s="183"/>
      <c r="B89" s="186"/>
      <c r="C89" s="55" t="s">
        <v>69</v>
      </c>
      <c r="D89" s="26" t="str">
        <f>IF(AND(NOT(ISBLANK(PartnerType)),OR(NOT(ConfigureMailboxes=FALSE),ISBLANK(ConfigureMailboxes)),NOT(ISBLANK(DelayMailboxMessageType2))),LOWER(DelayMailboxMessageType2),"")</f>
        <v/>
      </c>
      <c r="F89" s="183"/>
      <c r="G89" s="186"/>
      <c r="H89" s="55" t="s">
        <v>69</v>
      </c>
      <c r="I89" s="26" t="str">
        <f>IF(AND(NOT(ISBLANK(PartnerType)),OR(NOT(ConfigureMailboxes=FALSE),ISBLANK(ConfigureMailboxes)),NOT(ISBLANK(DelayMailboxMessageType2))),LOWER(DelayMailboxMessageType2),"")</f>
        <v/>
      </c>
    </row>
    <row r="90" spans="1:9" x14ac:dyDescent="0.25">
      <c r="A90" s="184"/>
      <c r="B90" s="187"/>
      <c r="C90" s="55" t="s">
        <v>81</v>
      </c>
      <c r="D90" s="26" t="str">
        <f>IF(AND(NOT(ISBLANK(PartnerType)),OR(NOT(ConfigureMailboxes=FALSE),ISBLANK(ConfigureMailboxes)),NOT(ISBLANK(DelayMailboxMessageType1))),"Inbox for "&amp;PartnerName,"")</f>
        <v/>
      </c>
      <c r="F90" s="184"/>
      <c r="G90" s="187"/>
      <c r="H90" s="55" t="s">
        <v>81</v>
      </c>
      <c r="I90" s="26" t="str">
        <f>IF(AND(NOT(ISBLANK(PartnerType)),OR(NOT(ConfigureMailboxes=FALSE),ISBLANK(ConfigureMailboxes)),NOT(ISBLANK(DelayMailboxMessageType1))),"History Inbox for "&amp;PartnerName,"")</f>
        <v/>
      </c>
    </row>
    <row r="91" spans="1:9" x14ac:dyDescent="0.25">
      <c r="A91" s="54">
        <v>2</v>
      </c>
      <c r="B91" s="55" t="s">
        <v>108</v>
      </c>
      <c r="C91" s="55" t="s">
        <v>93</v>
      </c>
      <c r="D91" s="26" t="str">
        <f>IF(AND(NOT(ISBLANK(PartnerType)),OR(NOT(ConfigureMailboxes=FALSE),ISBLANK(ConfigureMailboxes)),NOT(ISBLANK(DelayMailboxMessageType1))),"Mailbox Administrators","")</f>
        <v/>
      </c>
      <c r="F91" s="54">
        <v>2</v>
      </c>
      <c r="G91" s="55" t="s">
        <v>108</v>
      </c>
      <c r="H91" s="55" t="s">
        <v>93</v>
      </c>
      <c r="I91" s="26" t="str">
        <f>IF(AND(NOT(ISBLANK(PartnerType)),OR(NOT(ConfigureMailboxes=FALSE),ISBLANK(ConfigureMailboxes)),NOT(ISBLANK(DelayMailboxMessageType1))),"Mailbox Administrators","")</f>
        <v/>
      </c>
    </row>
    <row r="92" spans="1:9" x14ac:dyDescent="0.25">
      <c r="A92" s="54">
        <v>3</v>
      </c>
      <c r="B92" s="55" t="s">
        <v>109</v>
      </c>
      <c r="C92" s="55" t="s">
        <v>110</v>
      </c>
      <c r="D92" s="71" t="str">
        <f>IF(AND(NOT(ISBLANK(PartnerType)),OR(NOT(ConfigureMailboxes=FALSE),ISBLANK(ConfigureMailboxes)),NOT(ISBLANK(DelayMailboxMessageType1))),"&lt;Leave blank&gt;","")</f>
        <v/>
      </c>
      <c r="F92" s="54">
        <v>3</v>
      </c>
      <c r="G92" s="55" t="s">
        <v>109</v>
      </c>
      <c r="H92" s="55" t="s">
        <v>110</v>
      </c>
      <c r="I92" s="71" t="str">
        <f>IF(AND(NOT(ISBLANK(PartnerType)),OR(NOT(ConfigureMailboxes=FALSE),ISBLANK(ConfigureMailboxes)),NOT(ISBLANK(DelayMailboxMessageType1))),"&lt;Leave blank&gt;","")</f>
        <v/>
      </c>
    </row>
    <row r="95" spans="1:9" x14ac:dyDescent="0.25">
      <c r="A95" s="16" t="s">
        <v>112</v>
      </c>
      <c r="F95" s="16" t="s">
        <v>319</v>
      </c>
      <c r="I95" s="25"/>
    </row>
    <row r="96" spans="1:9" x14ac:dyDescent="0.25">
      <c r="A96" s="23" t="s">
        <v>67</v>
      </c>
      <c r="B96" s="72" t="s">
        <v>68</v>
      </c>
      <c r="C96" s="72" t="s">
        <v>59</v>
      </c>
      <c r="D96" s="35" t="s">
        <v>60</v>
      </c>
      <c r="F96" s="23" t="s">
        <v>67</v>
      </c>
      <c r="G96" s="72" t="s">
        <v>68</v>
      </c>
      <c r="H96" s="72" t="s">
        <v>59</v>
      </c>
      <c r="I96" s="35" t="s">
        <v>60</v>
      </c>
    </row>
    <row r="97" spans="1:9" x14ac:dyDescent="0.25">
      <c r="A97" s="182">
        <v>1</v>
      </c>
      <c r="B97" s="185" t="s">
        <v>69</v>
      </c>
      <c r="C97" s="55" t="s">
        <v>107</v>
      </c>
      <c r="D97" s="26" t="str">
        <f>IF(AND(NOT(ISBLANK(PartnerType)),OR(NOT(ConfigureMailboxes=FALSE),ISBLANK(ConfigureMailboxes)),NOT(ISBLANK(DelayMailboxMessageType1))),CONCATENATE("/DSV_DELAY_mb/DSV_",UserAccount,"_mb/outbox"),"")</f>
        <v/>
      </c>
      <c r="F97" s="182">
        <v>1</v>
      </c>
      <c r="G97" s="185" t="s">
        <v>69</v>
      </c>
      <c r="H97" s="55" t="s">
        <v>107</v>
      </c>
      <c r="I97" s="26" t="str">
        <f>IF(AND(NOT(ISBLANK(PartnerType)),OR(NOT(ConfigureMailboxes=FALSE),ISBLANK(ConfigureMailboxes)),NOT(ISBLANK(DelayMailboxMessageType1))),CONCATENATE("/DSV_DELAY_mb/DSV_",UserAccount,"_mb/outbox_history"),"")</f>
        <v/>
      </c>
    </row>
    <row r="98" spans="1:9" x14ac:dyDescent="0.25">
      <c r="A98" s="183"/>
      <c r="B98" s="186"/>
      <c r="C98" s="55" t="s">
        <v>69</v>
      </c>
      <c r="D98" s="26" t="str">
        <f>IF(AND(NOT(ISBLANK(PartnerType)),OR(NOT(ConfigureMailboxes=FALSE),ISBLANK(ConfigureMailboxes)),NOT(ISBLANK(DelayMailboxMessageType2))),LOWER(DelayMailboxMessageType2),"")</f>
        <v/>
      </c>
      <c r="F98" s="183"/>
      <c r="G98" s="186"/>
      <c r="H98" s="55" t="s">
        <v>69</v>
      </c>
      <c r="I98" s="26" t="str">
        <f>IF(AND(NOT(ISBLANK(PartnerType)),OR(NOT(ConfigureMailboxes=FALSE),ISBLANK(ConfigureMailboxes)),NOT(ISBLANK(DelayMailboxMessageType2))),LOWER(DelayMailboxMessageType2),"")</f>
        <v/>
      </c>
    </row>
    <row r="99" spans="1:9" x14ac:dyDescent="0.25">
      <c r="A99" s="184"/>
      <c r="B99" s="187"/>
      <c r="C99" s="55" t="s">
        <v>81</v>
      </c>
      <c r="D99" s="26" t="str">
        <f>IF(AND(NOT(ISBLANK(PartnerType)),OR(NOT(ConfigureMailboxes=FALSE),ISBLANK(ConfigureMailboxes)),NOT(ISBLANK(DelayMailboxMessageType1))),"Outbox for "&amp;PartnerName,"")</f>
        <v/>
      </c>
      <c r="F99" s="184"/>
      <c r="G99" s="187"/>
      <c r="H99" s="55" t="s">
        <v>81</v>
      </c>
      <c r="I99" s="26" t="str">
        <f>IF(AND(NOT(ISBLANK(PartnerType)),OR(NOT(ConfigureMailboxes=FALSE),ISBLANK(ConfigureMailboxes)),NOT(ISBLANK(DelayMailboxMessageType1))),"History Outbox for "&amp;PartnerName,"")</f>
        <v/>
      </c>
    </row>
    <row r="100" spans="1:9" x14ac:dyDescent="0.25">
      <c r="A100" s="54">
        <v>2</v>
      </c>
      <c r="B100" s="55" t="s">
        <v>108</v>
      </c>
      <c r="C100" s="55" t="s">
        <v>93</v>
      </c>
      <c r="D100" s="26" t="str">
        <f>IF(AND(NOT(ISBLANK(PartnerType)),OR(NOT(ConfigureMailboxes=FALSE),ISBLANK(ConfigureMailboxes)),NOT(ISBLANK(DelayMailboxMessageType1))),"Mailbox Administrators","")</f>
        <v/>
      </c>
      <c r="F100" s="54">
        <v>2</v>
      </c>
      <c r="G100" s="55" t="s">
        <v>108</v>
      </c>
      <c r="H100" s="55" t="s">
        <v>93</v>
      </c>
      <c r="I100" s="26" t="str">
        <f>IF(AND(NOT(ISBLANK(PartnerType)),OR(NOT(ConfigureMailboxes=FALSE),ISBLANK(ConfigureMailboxes)),NOT(ISBLANK(DelayMailboxMessageType1))),"Mailbox Administrators","")</f>
        <v/>
      </c>
    </row>
    <row r="101" spans="1:9" x14ac:dyDescent="0.25">
      <c r="A101" s="54">
        <v>3</v>
      </c>
      <c r="B101" s="55" t="s">
        <v>109</v>
      </c>
      <c r="C101" s="55" t="s">
        <v>110</v>
      </c>
      <c r="D101" s="71" t="str">
        <f>IF(AND(NOT(ISBLANK(PartnerType)),OR(NOT(ConfigureMailboxes=FALSE),ISBLANK(ConfigureMailboxes)),NOT(ISBLANK(DelayMailboxMessageType1))),"&lt;Leave blank&gt;","")</f>
        <v/>
      </c>
      <c r="F101" s="54">
        <v>3</v>
      </c>
      <c r="G101" s="55" t="s">
        <v>109</v>
      </c>
      <c r="H101" s="55" t="s">
        <v>110</v>
      </c>
      <c r="I101" s="71" t="str">
        <f>IF(AND(NOT(ISBLANK(PartnerType)),OR(NOT(ConfigureMailboxes=FALSE),ISBLANK(ConfigureMailboxes)),NOT(ISBLANK(DelayMailboxMessageType1))),"&lt;Leave blank&gt;","")</f>
        <v/>
      </c>
    </row>
    <row r="105" spans="1:9" x14ac:dyDescent="0.25">
      <c r="A105" s="23" t="s">
        <v>324</v>
      </c>
      <c r="B105" s="73"/>
    </row>
    <row r="107" spans="1:9" x14ac:dyDescent="0.25">
      <c r="A107" s="16" t="s">
        <v>111</v>
      </c>
      <c r="F107" s="16" t="s">
        <v>318</v>
      </c>
      <c r="I107" s="25"/>
    </row>
    <row r="108" spans="1:9" x14ac:dyDescent="0.25">
      <c r="A108" s="23" t="s">
        <v>67</v>
      </c>
      <c r="B108" s="72" t="s">
        <v>68</v>
      </c>
      <c r="C108" s="72" t="s">
        <v>59</v>
      </c>
      <c r="D108" s="35" t="s">
        <v>60</v>
      </c>
      <c r="F108" s="23" t="s">
        <v>67</v>
      </c>
      <c r="G108" s="72" t="s">
        <v>68</v>
      </c>
      <c r="H108" s="72" t="s">
        <v>59</v>
      </c>
      <c r="I108" s="35" t="s">
        <v>60</v>
      </c>
    </row>
    <row r="109" spans="1:9" x14ac:dyDescent="0.25">
      <c r="A109" s="182">
        <v>1</v>
      </c>
      <c r="B109" s="185" t="s">
        <v>69</v>
      </c>
      <c r="C109" s="55" t="s">
        <v>107</v>
      </c>
      <c r="D109" s="26" t="str">
        <f>IF(AND(NOT(ISBLANK(PartnerType)),OR(NOT(ConfigureMailboxes=FALSE),ISBLANK(ConfigureMailboxes)),NOT(ISBLANK(DelayMailboxMessageType1))),CONCATENATE(DelayRootMailbox,"/DSV_",UserAccount,"_mb/inbox"),"")</f>
        <v/>
      </c>
      <c r="F109" s="182">
        <v>1</v>
      </c>
      <c r="G109" s="185" t="s">
        <v>69</v>
      </c>
      <c r="H109" s="55" t="s">
        <v>107</v>
      </c>
      <c r="I109" s="26" t="str">
        <f>IF(AND(NOT(ISBLANK(PartnerType)),OR(NOT(ConfigureMailboxes=FALSE),ISBLANK(ConfigureMailboxes)),NOT(ISBLANK(DelayMailboxMessageType1))),CONCATENATE("/DSV_DELAY_mb/DSV_",UserAccount,"_mb/inbox_history"),"")</f>
        <v/>
      </c>
    </row>
    <row r="110" spans="1:9" x14ac:dyDescent="0.25">
      <c r="A110" s="183"/>
      <c r="B110" s="186"/>
      <c r="C110" s="55" t="s">
        <v>69</v>
      </c>
      <c r="D110" s="26" t="str">
        <f>IF(AND(NOT(ISBLANK(PartnerType)),OR(NOT(ConfigureMailboxes=FALSE),ISBLANK(ConfigureMailboxes)),NOT(ISBLANK(DelayMailboxMessageType3))),LOWER(DelayMailboxMessageType3),"")</f>
        <v/>
      </c>
      <c r="F110" s="183"/>
      <c r="G110" s="186"/>
      <c r="H110" s="55" t="s">
        <v>69</v>
      </c>
      <c r="I110" s="26" t="str">
        <f>IF(AND(NOT(ISBLANK(PartnerType)),OR(NOT(ConfigureMailboxes=FALSE),ISBLANK(ConfigureMailboxes)),NOT(ISBLANK(DelayMailboxMessageType3))),LOWER(DelayMailboxMessageType3),"")</f>
        <v/>
      </c>
    </row>
    <row r="111" spans="1:9" x14ac:dyDescent="0.25">
      <c r="A111" s="184"/>
      <c r="B111" s="187"/>
      <c r="C111" s="55" t="s">
        <v>81</v>
      </c>
      <c r="D111" s="26" t="str">
        <f>IF(AND(NOT(ISBLANK(PartnerType)),OR(NOT(ConfigureMailboxes=FALSE),ISBLANK(ConfigureMailboxes)),NOT(ISBLANK(DelayMailboxMessageType1))),"Inbox for "&amp;PartnerName,"")</f>
        <v/>
      </c>
      <c r="F111" s="184"/>
      <c r="G111" s="187"/>
      <c r="H111" s="55" t="s">
        <v>81</v>
      </c>
      <c r="I111" s="26" t="str">
        <f>IF(AND(NOT(ISBLANK(PartnerType)),OR(NOT(ConfigureMailboxes=FALSE),ISBLANK(ConfigureMailboxes)),NOT(ISBLANK(DelayMailboxMessageType1))),"History Inbox for "&amp;PartnerName,"")</f>
        <v/>
      </c>
    </row>
    <row r="112" spans="1:9" x14ac:dyDescent="0.25">
      <c r="A112" s="54">
        <v>2</v>
      </c>
      <c r="B112" s="55" t="s">
        <v>108</v>
      </c>
      <c r="C112" s="55" t="s">
        <v>93</v>
      </c>
      <c r="D112" s="26" t="str">
        <f>IF(AND(NOT(ISBLANK(PartnerType)),OR(NOT(ConfigureMailboxes=FALSE),ISBLANK(ConfigureMailboxes)),NOT(ISBLANK(DelayMailboxMessageType1))),"Mailbox Administrators","")</f>
        <v/>
      </c>
      <c r="F112" s="54">
        <v>2</v>
      </c>
      <c r="G112" s="55" t="s">
        <v>108</v>
      </c>
      <c r="H112" s="55" t="s">
        <v>93</v>
      </c>
      <c r="I112" s="26" t="str">
        <f>IF(AND(NOT(ISBLANK(PartnerType)),OR(NOT(ConfigureMailboxes=FALSE),ISBLANK(ConfigureMailboxes)),NOT(ISBLANK(DelayMailboxMessageType1))),"Mailbox Administrators","")</f>
        <v/>
      </c>
    </row>
    <row r="113" spans="1:9" x14ac:dyDescent="0.25">
      <c r="A113" s="54">
        <v>3</v>
      </c>
      <c r="B113" s="55" t="s">
        <v>109</v>
      </c>
      <c r="C113" s="55" t="s">
        <v>110</v>
      </c>
      <c r="D113" s="71" t="str">
        <f>IF(AND(NOT(ISBLANK(PartnerType)),OR(NOT(ConfigureMailboxes=FALSE),ISBLANK(ConfigureMailboxes)),NOT(ISBLANK(DelayMailboxMessageType1))),"&lt;Leave blank&gt;","")</f>
        <v/>
      </c>
      <c r="F113" s="54">
        <v>3</v>
      </c>
      <c r="G113" s="55" t="s">
        <v>109</v>
      </c>
      <c r="H113" s="55" t="s">
        <v>110</v>
      </c>
      <c r="I113" s="71" t="str">
        <f>IF(AND(NOT(ISBLANK(PartnerType)),OR(NOT(ConfigureMailboxes=FALSE),ISBLANK(ConfigureMailboxes)),NOT(ISBLANK(DelayMailboxMessageType1))),"&lt;Leave blank&gt;","")</f>
        <v/>
      </c>
    </row>
    <row r="116" spans="1:9" x14ac:dyDescent="0.25">
      <c r="A116" s="16" t="s">
        <v>112</v>
      </c>
      <c r="F116" s="16" t="s">
        <v>319</v>
      </c>
      <c r="I116" s="25"/>
    </row>
    <row r="117" spans="1:9" x14ac:dyDescent="0.25">
      <c r="A117" s="23" t="s">
        <v>67</v>
      </c>
      <c r="B117" s="72" t="s">
        <v>68</v>
      </c>
      <c r="C117" s="72" t="s">
        <v>59</v>
      </c>
      <c r="D117" s="35" t="s">
        <v>60</v>
      </c>
      <c r="F117" s="23" t="s">
        <v>67</v>
      </c>
      <c r="G117" s="72" t="s">
        <v>68</v>
      </c>
      <c r="H117" s="72" t="s">
        <v>59</v>
      </c>
      <c r="I117" s="35" t="s">
        <v>60</v>
      </c>
    </row>
    <row r="118" spans="1:9" x14ac:dyDescent="0.25">
      <c r="A118" s="182">
        <v>1</v>
      </c>
      <c r="B118" s="185" t="s">
        <v>69</v>
      </c>
      <c r="C118" s="55" t="s">
        <v>107</v>
      </c>
      <c r="D118" s="26" t="str">
        <f>IF(AND(NOT(ISBLANK(PartnerType)),OR(NOT(ConfigureMailboxes=FALSE),ISBLANK(ConfigureMailboxes)),NOT(ISBLANK(DelayMailboxMessageType1))),CONCATENATE("/DSV_DELAY_mb/DSV_",UserAccount,"_mb/outbox"),"")</f>
        <v/>
      </c>
      <c r="F118" s="182">
        <v>1</v>
      </c>
      <c r="G118" s="185" t="s">
        <v>69</v>
      </c>
      <c r="H118" s="55" t="s">
        <v>107</v>
      </c>
      <c r="I118" s="26" t="str">
        <f>IF(AND(NOT(ISBLANK(PartnerType)),OR(NOT(ConfigureMailboxes=FALSE),ISBLANK(ConfigureMailboxes)),NOT(ISBLANK(DelayMailboxMessageType1))),CONCATENATE("/DSV_DELAY_mb/DSV_",UserAccount,"_mb/outbox_history"),"")</f>
        <v/>
      </c>
    </row>
    <row r="119" spans="1:9" x14ac:dyDescent="0.25">
      <c r="A119" s="183"/>
      <c r="B119" s="186"/>
      <c r="C119" s="55" t="s">
        <v>69</v>
      </c>
      <c r="D119" s="26" t="str">
        <f>IF(AND(NOT(ISBLANK(PartnerType)),OR(NOT(ConfigureMailboxes=FALSE),ISBLANK(ConfigureMailboxes)),NOT(ISBLANK(DelayMailboxMessageType3))),LOWER(DelayMailboxMessageType3),"")</f>
        <v/>
      </c>
      <c r="F119" s="183"/>
      <c r="G119" s="186"/>
      <c r="H119" s="55" t="s">
        <v>69</v>
      </c>
      <c r="I119" s="26" t="str">
        <f>IF(AND(NOT(ISBLANK(PartnerType)),OR(NOT(ConfigureMailboxes=FALSE),ISBLANK(ConfigureMailboxes)),NOT(ISBLANK(DelayMailboxMessageType3))),LOWER(DelayMailboxMessageType3),"")</f>
        <v/>
      </c>
    </row>
    <row r="120" spans="1:9" x14ac:dyDescent="0.25">
      <c r="A120" s="184"/>
      <c r="B120" s="187"/>
      <c r="C120" s="55" t="s">
        <v>81</v>
      </c>
      <c r="D120" s="26" t="str">
        <f>IF(AND(NOT(ISBLANK(PartnerType)),OR(NOT(ConfigureMailboxes=FALSE),ISBLANK(ConfigureMailboxes)),NOT(ISBLANK(DelayMailboxMessageType1))),"Outbox for "&amp;PartnerName,"")</f>
        <v/>
      </c>
      <c r="F120" s="184"/>
      <c r="G120" s="187"/>
      <c r="H120" s="55" t="s">
        <v>81</v>
      </c>
      <c r="I120" s="26" t="str">
        <f>IF(AND(NOT(ISBLANK(PartnerType)),OR(NOT(ConfigureMailboxes=FALSE),ISBLANK(ConfigureMailboxes)),NOT(ISBLANK(DelayMailboxMessageType1))),"History Outbox for "&amp;PartnerName,"")</f>
        <v/>
      </c>
    </row>
    <row r="121" spans="1:9" x14ac:dyDescent="0.25">
      <c r="A121" s="54">
        <v>2</v>
      </c>
      <c r="B121" s="55" t="s">
        <v>108</v>
      </c>
      <c r="C121" s="55" t="s">
        <v>93</v>
      </c>
      <c r="D121" s="26" t="str">
        <f>IF(AND(NOT(ISBLANK(PartnerType)),OR(NOT(ConfigureMailboxes=FALSE),ISBLANK(ConfigureMailboxes)),NOT(ISBLANK(DelayMailboxMessageType1))),"Mailbox Administrators","")</f>
        <v/>
      </c>
      <c r="F121" s="54">
        <v>2</v>
      </c>
      <c r="G121" s="55" t="s">
        <v>108</v>
      </c>
      <c r="H121" s="55" t="s">
        <v>93</v>
      </c>
      <c r="I121" s="26" t="str">
        <f>IF(AND(NOT(ISBLANK(PartnerType)),OR(NOT(ConfigureMailboxes=FALSE),ISBLANK(ConfigureMailboxes)),NOT(ISBLANK(DelayMailboxMessageType1))),"Mailbox Administrators","")</f>
        <v/>
      </c>
    </row>
    <row r="122" spans="1:9" x14ac:dyDescent="0.25">
      <c r="A122" s="54">
        <v>3</v>
      </c>
      <c r="B122" s="55" t="s">
        <v>109</v>
      </c>
      <c r="C122" s="55" t="s">
        <v>110</v>
      </c>
      <c r="D122" s="71" t="str">
        <f>IF(AND(NOT(ISBLANK(PartnerType)),OR(NOT(ConfigureMailboxes=FALSE),ISBLANK(ConfigureMailboxes)),NOT(ISBLANK(DelayMailboxMessageType1))),"&lt;Leave blank&gt;","")</f>
        <v/>
      </c>
      <c r="F122" s="54">
        <v>3</v>
      </c>
      <c r="G122" s="55" t="s">
        <v>109</v>
      </c>
      <c r="H122" s="55" t="s">
        <v>110</v>
      </c>
      <c r="I122" s="71" t="str">
        <f>IF(AND(NOT(ISBLANK(PartnerType)),OR(NOT(ConfigureMailboxes=FALSE),ISBLANK(ConfigureMailboxes)),NOT(ISBLANK(DelayMailboxMessageType1))),"&lt;Leave blank&gt;","")</f>
        <v/>
      </c>
    </row>
    <row r="126" spans="1:9" x14ac:dyDescent="0.25">
      <c r="A126" s="23" t="s">
        <v>325</v>
      </c>
      <c r="B126" s="73"/>
    </row>
    <row r="128" spans="1:9" x14ac:dyDescent="0.25">
      <c r="A128" s="16" t="s">
        <v>111</v>
      </c>
      <c r="F128" s="16" t="s">
        <v>318</v>
      </c>
      <c r="I128" s="25"/>
    </row>
    <row r="129" spans="1:9" x14ac:dyDescent="0.25">
      <c r="A129" s="23" t="s">
        <v>67</v>
      </c>
      <c r="B129" s="72" t="s">
        <v>68</v>
      </c>
      <c r="C129" s="72" t="s">
        <v>59</v>
      </c>
      <c r="D129" s="35" t="s">
        <v>60</v>
      </c>
      <c r="F129" s="23" t="s">
        <v>67</v>
      </c>
      <c r="G129" s="72" t="s">
        <v>68</v>
      </c>
      <c r="H129" s="72" t="s">
        <v>59</v>
      </c>
      <c r="I129" s="35" t="s">
        <v>60</v>
      </c>
    </row>
    <row r="130" spans="1:9" x14ac:dyDescent="0.25">
      <c r="A130" s="182">
        <v>1</v>
      </c>
      <c r="B130" s="185" t="s">
        <v>69</v>
      </c>
      <c r="C130" s="55" t="s">
        <v>107</v>
      </c>
      <c r="D130" s="26" t="str">
        <f>IF(AND(NOT(ISBLANK(PartnerType)),OR(NOT(ConfigureMailboxes=FALSE),ISBLANK(ConfigureMailboxes)),NOT(ISBLANK(DelayMailboxMessageType1))),CONCATENATE(DelayRootMailbox,"/DSV_",UserAccount,"_mb/inbox"),"")</f>
        <v/>
      </c>
      <c r="F130" s="182">
        <v>1</v>
      </c>
      <c r="G130" s="185" t="s">
        <v>69</v>
      </c>
      <c r="H130" s="55" t="s">
        <v>107</v>
      </c>
      <c r="I130" s="26" t="str">
        <f>IF(AND(NOT(ISBLANK(PartnerType)),OR(NOT(ConfigureMailboxes=FALSE),ISBLANK(ConfigureMailboxes)),NOT(ISBLANK(DelayMailboxMessageType1))),CONCATENATE("/DSV_DELAY_mb/DSV_",UserAccount,"_mb/inbox_history"),"")</f>
        <v/>
      </c>
    </row>
    <row r="131" spans="1:9" x14ac:dyDescent="0.25">
      <c r="A131" s="183"/>
      <c r="B131" s="186"/>
      <c r="C131" s="55" t="s">
        <v>69</v>
      </c>
      <c r="D131" s="26" t="str">
        <f>IF(AND(NOT(ISBLANK(PartnerType)),OR(NOT(ConfigureMailboxes=FALSE),ISBLANK(ConfigureMailboxes)),NOT(ISBLANK(DelayMailboxMessageType4))),LOWER(DelayMailboxMessageType4),"")</f>
        <v/>
      </c>
      <c r="F131" s="183"/>
      <c r="G131" s="186"/>
      <c r="H131" s="55" t="s">
        <v>69</v>
      </c>
      <c r="I131" s="26" t="str">
        <f>IF(AND(NOT(ISBLANK(PartnerType)),OR(NOT(ConfigureMailboxes=FALSE),ISBLANK(ConfigureMailboxes)),NOT(ISBLANK(DelayMailboxMessageType4))),LOWER(DelayMailboxMessageType4),"")</f>
        <v/>
      </c>
    </row>
    <row r="132" spans="1:9" x14ac:dyDescent="0.25">
      <c r="A132" s="184"/>
      <c r="B132" s="187"/>
      <c r="C132" s="55" t="s">
        <v>81</v>
      </c>
      <c r="D132" s="26" t="str">
        <f>IF(AND(NOT(ISBLANK(PartnerType)),OR(NOT(ConfigureMailboxes=FALSE),ISBLANK(ConfigureMailboxes)),NOT(ISBLANK(DelayMailboxMessageType1))),"Inbox for "&amp;PartnerName,"")</f>
        <v/>
      </c>
      <c r="F132" s="184"/>
      <c r="G132" s="187"/>
      <c r="H132" s="55" t="s">
        <v>81</v>
      </c>
      <c r="I132" s="26" t="str">
        <f>IF(AND(NOT(ISBLANK(PartnerType)),OR(NOT(ConfigureMailboxes=FALSE),ISBLANK(ConfigureMailboxes)),NOT(ISBLANK(DelayMailboxMessageType1))),"History Inbox for "&amp;PartnerName,"")</f>
        <v/>
      </c>
    </row>
    <row r="133" spans="1:9" x14ac:dyDescent="0.25">
      <c r="A133" s="54">
        <v>2</v>
      </c>
      <c r="B133" s="55" t="s">
        <v>108</v>
      </c>
      <c r="C133" s="55" t="s">
        <v>93</v>
      </c>
      <c r="D133" s="26" t="str">
        <f>IF(AND(NOT(ISBLANK(PartnerType)),OR(NOT(ConfigureMailboxes=FALSE),ISBLANK(ConfigureMailboxes)),NOT(ISBLANK(DelayMailboxMessageType1))),"Mailbox Administrators","")</f>
        <v/>
      </c>
      <c r="F133" s="54">
        <v>2</v>
      </c>
      <c r="G133" s="55" t="s">
        <v>108</v>
      </c>
      <c r="H133" s="55" t="s">
        <v>93</v>
      </c>
      <c r="I133" s="26" t="str">
        <f>IF(AND(NOT(ISBLANK(PartnerType)),OR(NOT(ConfigureMailboxes=FALSE),ISBLANK(ConfigureMailboxes)),NOT(ISBLANK(DelayMailboxMessageType1))),"Mailbox Administrators","")</f>
        <v/>
      </c>
    </row>
    <row r="134" spans="1:9" x14ac:dyDescent="0.25">
      <c r="A134" s="54">
        <v>3</v>
      </c>
      <c r="B134" s="55" t="s">
        <v>109</v>
      </c>
      <c r="C134" s="55" t="s">
        <v>110</v>
      </c>
      <c r="D134" s="71" t="str">
        <f>IF(AND(NOT(ISBLANK(PartnerType)),OR(NOT(ConfigureMailboxes=FALSE),ISBLANK(ConfigureMailboxes)),NOT(ISBLANK(DelayMailboxMessageType1))),"&lt;Leave blank&gt;","")</f>
        <v/>
      </c>
      <c r="F134" s="54">
        <v>3</v>
      </c>
      <c r="G134" s="55" t="s">
        <v>109</v>
      </c>
      <c r="H134" s="55" t="s">
        <v>110</v>
      </c>
      <c r="I134" s="71" t="str">
        <f>IF(AND(NOT(ISBLANK(PartnerType)),OR(NOT(ConfigureMailboxes=FALSE),ISBLANK(ConfigureMailboxes)),NOT(ISBLANK(DelayMailboxMessageType1))),"&lt;Leave blank&gt;","")</f>
        <v/>
      </c>
    </row>
    <row r="137" spans="1:9" x14ac:dyDescent="0.25">
      <c r="A137" s="16" t="s">
        <v>112</v>
      </c>
      <c r="F137" s="16" t="s">
        <v>319</v>
      </c>
      <c r="I137" s="25"/>
    </row>
    <row r="138" spans="1:9" x14ac:dyDescent="0.25">
      <c r="A138" s="23" t="s">
        <v>67</v>
      </c>
      <c r="B138" s="72" t="s">
        <v>68</v>
      </c>
      <c r="C138" s="72" t="s">
        <v>59</v>
      </c>
      <c r="D138" s="35" t="s">
        <v>60</v>
      </c>
      <c r="F138" s="23" t="s">
        <v>67</v>
      </c>
      <c r="G138" s="72" t="s">
        <v>68</v>
      </c>
      <c r="H138" s="72" t="s">
        <v>59</v>
      </c>
      <c r="I138" s="35" t="s">
        <v>60</v>
      </c>
    </row>
    <row r="139" spans="1:9" x14ac:dyDescent="0.25">
      <c r="A139" s="182">
        <v>1</v>
      </c>
      <c r="B139" s="185" t="s">
        <v>69</v>
      </c>
      <c r="C139" s="55" t="s">
        <v>107</v>
      </c>
      <c r="D139" s="26" t="str">
        <f>IF(AND(NOT(ISBLANK(PartnerType)),OR(NOT(ConfigureMailboxes=FALSE),ISBLANK(ConfigureMailboxes)),NOT(ISBLANK(DelayMailboxMessageType1))),CONCATENATE("/DSV_DELAY_mb/DSV_",UserAccount,"_mb/outbox"),"")</f>
        <v/>
      </c>
      <c r="F139" s="182">
        <v>1</v>
      </c>
      <c r="G139" s="185" t="s">
        <v>69</v>
      </c>
      <c r="H139" s="55" t="s">
        <v>107</v>
      </c>
      <c r="I139" s="26" t="str">
        <f>IF(AND(NOT(ISBLANK(PartnerType)),OR(NOT(ConfigureMailboxes=FALSE),ISBLANK(ConfigureMailboxes)),NOT(ISBLANK(DelayMailboxMessageType1))),CONCATENATE("/DSV_DELAY_mb/DSV_",UserAccount,"_mb/outbox_history"),"")</f>
        <v/>
      </c>
    </row>
    <row r="140" spans="1:9" x14ac:dyDescent="0.25">
      <c r="A140" s="183"/>
      <c r="B140" s="186"/>
      <c r="C140" s="55" t="s">
        <v>69</v>
      </c>
      <c r="D140" s="26" t="str">
        <f>IF(AND(NOT(ISBLANK(PartnerType)),OR(NOT(ConfigureMailboxes=FALSE),ISBLANK(ConfigureMailboxes)),NOT(ISBLANK(DelayMailboxMessageType4))),LOWER(DelayMailboxMessageType4),"")</f>
        <v/>
      </c>
      <c r="F140" s="183"/>
      <c r="G140" s="186"/>
      <c r="H140" s="55" t="s">
        <v>69</v>
      </c>
      <c r="I140" s="26" t="str">
        <f>IF(AND(NOT(ISBLANK(PartnerType)),OR(NOT(ConfigureMailboxes=FALSE),ISBLANK(ConfigureMailboxes)),NOT(ISBLANK(DelayMailboxMessageType4))),LOWER(DelayMailboxMessageType4),"")</f>
        <v/>
      </c>
    </row>
    <row r="141" spans="1:9" x14ac:dyDescent="0.25">
      <c r="A141" s="184"/>
      <c r="B141" s="187"/>
      <c r="C141" s="55" t="s">
        <v>81</v>
      </c>
      <c r="D141" s="26" t="str">
        <f>IF(AND(NOT(ISBLANK(PartnerType)),OR(NOT(ConfigureMailboxes=FALSE),ISBLANK(ConfigureMailboxes)),NOT(ISBLANK(DelayMailboxMessageType1))),"Outbox for "&amp;PartnerName,"")</f>
        <v/>
      </c>
      <c r="F141" s="184"/>
      <c r="G141" s="187"/>
      <c r="H141" s="55" t="s">
        <v>81</v>
      </c>
      <c r="I141" s="26" t="str">
        <f>IF(AND(NOT(ISBLANK(PartnerType)),OR(NOT(ConfigureMailboxes=FALSE),ISBLANK(ConfigureMailboxes)),NOT(ISBLANK(DelayMailboxMessageType1))),"History Outbox for "&amp;PartnerName,"")</f>
        <v/>
      </c>
    </row>
    <row r="142" spans="1:9" x14ac:dyDescent="0.25">
      <c r="A142" s="54">
        <v>2</v>
      </c>
      <c r="B142" s="55" t="s">
        <v>108</v>
      </c>
      <c r="C142" s="55" t="s">
        <v>93</v>
      </c>
      <c r="D142" s="26" t="str">
        <f>IF(AND(NOT(ISBLANK(PartnerType)),OR(NOT(ConfigureMailboxes=FALSE),ISBLANK(ConfigureMailboxes)),NOT(ISBLANK(DelayMailboxMessageType1))),"Mailbox Administrators","")</f>
        <v/>
      </c>
      <c r="F142" s="54">
        <v>2</v>
      </c>
      <c r="G142" s="55" t="s">
        <v>108</v>
      </c>
      <c r="H142" s="55" t="s">
        <v>93</v>
      </c>
      <c r="I142" s="26" t="str">
        <f>IF(AND(NOT(ISBLANK(PartnerType)),OR(NOT(ConfigureMailboxes=FALSE),ISBLANK(ConfigureMailboxes)),NOT(ISBLANK(DelayMailboxMessageType1))),"Mailbox Administrators","")</f>
        <v/>
      </c>
    </row>
    <row r="143" spans="1:9" x14ac:dyDescent="0.25">
      <c r="A143" s="54">
        <v>3</v>
      </c>
      <c r="B143" s="55" t="s">
        <v>109</v>
      </c>
      <c r="C143" s="55" t="s">
        <v>110</v>
      </c>
      <c r="D143" s="71" t="str">
        <f>IF(AND(NOT(ISBLANK(PartnerType)),OR(NOT(ConfigureMailboxes=FALSE),ISBLANK(ConfigureMailboxes)),NOT(ISBLANK(DelayMailboxMessageType1))),"&lt;Leave blank&gt;","")</f>
        <v/>
      </c>
      <c r="F143" s="54">
        <v>3</v>
      </c>
      <c r="G143" s="55" t="s">
        <v>109</v>
      </c>
      <c r="H143" s="55" t="s">
        <v>110</v>
      </c>
      <c r="I143" s="71" t="str">
        <f>IF(AND(NOT(ISBLANK(PartnerType)),OR(NOT(ConfigureMailboxes=FALSE),ISBLANK(ConfigureMailboxes)),NOT(ISBLANK(DelayMailboxMessageType1))),"&lt;Leave blank&gt;","")</f>
        <v/>
      </c>
    </row>
    <row r="146" spans="1:9" ht="15.75" thickBot="1" x14ac:dyDescent="0.3"/>
    <row r="147" spans="1:9" s="66" customFormat="1" ht="16.5" thickTop="1" thickBot="1" x14ac:dyDescent="0.3">
      <c r="B147" s="63"/>
      <c r="C147" s="63"/>
      <c r="D147" s="67"/>
      <c r="G147" s="63"/>
      <c r="H147" s="63"/>
    </row>
    <row r="148" spans="1:9" ht="15.75" thickTop="1" x14ac:dyDescent="0.25"/>
    <row r="149" spans="1:9" x14ac:dyDescent="0.25">
      <c r="A149" s="23" t="s">
        <v>745</v>
      </c>
    </row>
    <row r="151" spans="1:9" x14ac:dyDescent="0.25">
      <c r="A151" s="16" t="s">
        <v>746</v>
      </c>
    </row>
    <row r="152" spans="1:9" x14ac:dyDescent="0.25">
      <c r="A152" s="23" t="s">
        <v>67</v>
      </c>
      <c r="B152" s="72" t="s">
        <v>68</v>
      </c>
      <c r="C152" s="72" t="s">
        <v>59</v>
      </c>
      <c r="D152" s="35" t="s">
        <v>60</v>
      </c>
    </row>
    <row r="153" spans="1:9" x14ac:dyDescent="0.25">
      <c r="A153" s="182">
        <v>1</v>
      </c>
      <c r="B153" s="185" t="s">
        <v>69</v>
      </c>
      <c r="C153" s="55" t="s">
        <v>107</v>
      </c>
      <c r="D153" s="26" t="str">
        <f>IF(AND(NOT(ISBLANK(PartnerType)),OR(NOT(ConfigureMailboxes=FALSE),ISBLANK(ConfigureMailboxes))),"/DSV_BATCH_mb","")</f>
        <v/>
      </c>
    </row>
    <row r="154" spans="1:9" x14ac:dyDescent="0.25">
      <c r="A154" s="183"/>
      <c r="B154" s="186"/>
      <c r="C154" s="55" t="s">
        <v>69</v>
      </c>
      <c r="D154" s="26" t="str">
        <f>IF(AND(NOT(ISBLANK(PartnerType)),OR(NOT(ConfigureMailboxes=FALSE),ISBLANK(ConfigureMailboxes))),"DSV_"&amp;UserAccount&amp;"_mb","")</f>
        <v/>
      </c>
    </row>
    <row r="155" spans="1:9" x14ac:dyDescent="0.25">
      <c r="A155" s="184"/>
      <c r="B155" s="187"/>
      <c r="C155" s="55" t="s">
        <v>81</v>
      </c>
      <c r="D155" s="26" t="str">
        <f>IF(AND(NOT(ISBLANK(PartnerType)),OR(NOT(ConfigureMailboxes=FALSE),ISBLANK(ConfigureMailboxes))),"Root batch mailbox for "&amp;PartnerName,"")</f>
        <v/>
      </c>
    </row>
    <row r="156" spans="1:9" x14ac:dyDescent="0.25">
      <c r="A156" s="54">
        <v>2</v>
      </c>
      <c r="B156" s="55" t="s">
        <v>108</v>
      </c>
      <c r="C156" s="55" t="s">
        <v>93</v>
      </c>
      <c r="D156" s="26" t="str">
        <f>IF(AND(NOT(ISBLANK(PartnerType)),OR(NOT(ConfigureMailboxes=FALSE),ISBLANK(ConfigureMailboxes))),"Mailbox Administrators","")</f>
        <v/>
      </c>
    </row>
    <row r="157" spans="1:9" x14ac:dyDescent="0.25">
      <c r="A157" s="54">
        <v>3</v>
      </c>
      <c r="B157" s="55" t="s">
        <v>109</v>
      </c>
      <c r="C157" s="55" t="s">
        <v>110</v>
      </c>
      <c r="D157" s="71" t="str">
        <f>IF(AND(NOT(ISBLANK(PartnerType)),OR(NOT(ConfigureMailboxes=FALSE),ISBLANK(ConfigureMailboxes))),"&lt;Leave blank&gt;","")</f>
        <v/>
      </c>
    </row>
    <row r="160" spans="1:9" x14ac:dyDescent="0.25">
      <c r="A160" s="16" t="s">
        <v>111</v>
      </c>
      <c r="F160" s="16" t="s">
        <v>318</v>
      </c>
      <c r="I160" s="25"/>
    </row>
    <row r="161" spans="1:9" x14ac:dyDescent="0.25">
      <c r="A161" s="23" t="s">
        <v>67</v>
      </c>
      <c r="B161" s="72" t="s">
        <v>68</v>
      </c>
      <c r="C161" s="72" t="s">
        <v>59</v>
      </c>
      <c r="D161" s="35" t="s">
        <v>60</v>
      </c>
      <c r="F161" s="23" t="s">
        <v>67</v>
      </c>
      <c r="G161" s="72" t="s">
        <v>68</v>
      </c>
      <c r="H161" s="72" t="s">
        <v>59</v>
      </c>
      <c r="I161" s="35" t="s">
        <v>60</v>
      </c>
    </row>
    <row r="162" spans="1:9" x14ac:dyDescent="0.25">
      <c r="A162" s="182">
        <v>1</v>
      </c>
      <c r="B162" s="185" t="s">
        <v>69</v>
      </c>
      <c r="C162" s="55" t="s">
        <v>107</v>
      </c>
      <c r="D162" s="26" t="str">
        <f>IF(AND(NOT(ISBLANK(PartnerType)),OR(NOT(ConfigureMailboxes=FALSE),ISBLANK(ConfigureMailboxes))),CONCATENATE(BatchRootMailbox,"/DSV_",UserAccount,"_mb"),"")</f>
        <v/>
      </c>
      <c r="F162" s="182">
        <v>1</v>
      </c>
      <c r="G162" s="185" t="s">
        <v>69</v>
      </c>
      <c r="H162" s="55" t="s">
        <v>107</v>
      </c>
      <c r="I162" s="26" t="str">
        <f>IF(AND(NOT(ISBLANK(PartnerType)),OR(NOT(ConfigureMailboxes=FALSE),ISBLANK(ConfigureMailboxes))),CONCATENATE(BatchRootMailbox,"/DSV_",UserAccount,"_mb"),"")</f>
        <v/>
      </c>
    </row>
    <row r="163" spans="1:9" x14ac:dyDescent="0.25">
      <c r="A163" s="183"/>
      <c r="B163" s="186"/>
      <c r="C163" s="55" t="s">
        <v>69</v>
      </c>
      <c r="D163" s="26" t="str">
        <f>IF(AND(NOT(ISBLANK(PartnerType)),OR(NOT(ConfigureMailboxes=FALSE),ISBLANK(ConfigureMailboxes))),"inbox","")</f>
        <v/>
      </c>
      <c r="F163" s="183"/>
      <c r="G163" s="186"/>
      <c r="H163" s="55" t="s">
        <v>69</v>
      </c>
      <c r="I163" s="26" t="str">
        <f>IF(AND(NOT(ISBLANK(PartnerType)),OR(NOT(ConfigureMailboxes=FALSE),ISBLANK(ConfigureMailboxes))),"inbox_history","")</f>
        <v/>
      </c>
    </row>
    <row r="164" spans="1:9" x14ac:dyDescent="0.25">
      <c r="A164" s="184"/>
      <c r="B164" s="187"/>
      <c r="C164" s="55" t="s">
        <v>81</v>
      </c>
      <c r="D164" s="26" t="str">
        <f>IF(AND(NOT(ISBLANK(PartnerType)),OR(NOT(ConfigureMailboxes=FALSE),ISBLANK(ConfigureMailboxes))),"Batch inbox for "&amp;PartnerName,"")</f>
        <v/>
      </c>
      <c r="F164" s="184"/>
      <c r="G164" s="187"/>
      <c r="H164" s="55" t="s">
        <v>81</v>
      </c>
      <c r="I164" s="26" t="str">
        <f>IF(AND(NOT(ISBLANK(PartnerType)),OR(NOT(ConfigureMailboxes=FALSE),ISBLANK(ConfigureMailboxes))),"Batch History Inbox for "&amp;PartnerName,"")</f>
        <v/>
      </c>
    </row>
    <row r="165" spans="1:9" x14ac:dyDescent="0.25">
      <c r="A165" s="54">
        <v>2</v>
      </c>
      <c r="B165" s="55" t="s">
        <v>108</v>
      </c>
      <c r="C165" s="55" t="s">
        <v>93</v>
      </c>
      <c r="D165" s="26" t="str">
        <f>IF(AND(NOT(ISBLANK(PartnerType)),OR(NOT(ConfigureMailboxes=FALSE),ISBLANK(ConfigureMailboxes))),"Mailbox Administrators","")</f>
        <v/>
      </c>
      <c r="F165" s="54">
        <v>2</v>
      </c>
      <c r="G165" s="55" t="s">
        <v>108</v>
      </c>
      <c r="H165" s="55" t="s">
        <v>93</v>
      </c>
      <c r="I165" s="26" t="str">
        <f>IF(AND(NOT(ISBLANK(PartnerType)),OR(NOT(ConfigureMailboxes=FALSE),ISBLANK(ConfigureMailboxes))),"Mailbox Administrators","")</f>
        <v/>
      </c>
    </row>
    <row r="166" spans="1:9" x14ac:dyDescent="0.25">
      <c r="A166" s="54">
        <v>3</v>
      </c>
      <c r="B166" s="55" t="s">
        <v>109</v>
      </c>
      <c r="C166" s="55" t="s">
        <v>110</v>
      </c>
      <c r="D166" s="71" t="str">
        <f>IF(AND(NOT(ISBLANK(PartnerType)),OR(NOT(ConfigureMailboxes=FALSE),ISBLANK(ConfigureMailboxes))),"&lt;Leave blank&gt;","")</f>
        <v/>
      </c>
      <c r="F166" s="54">
        <v>3</v>
      </c>
      <c r="G166" s="55" t="s">
        <v>109</v>
      </c>
      <c r="H166" s="55" t="s">
        <v>110</v>
      </c>
      <c r="I166" s="71" t="str">
        <f>IF(AND(NOT(ISBLANK(PartnerType)),OR(NOT(ConfigureMailboxes=FALSE),ISBLANK(ConfigureMailboxes))),"&lt;Leave blank&gt;","")</f>
        <v/>
      </c>
    </row>
    <row r="169" spans="1:9" x14ac:dyDescent="0.25">
      <c r="A169" s="16" t="s">
        <v>112</v>
      </c>
      <c r="F169" s="16" t="s">
        <v>319</v>
      </c>
      <c r="I169" s="25"/>
    </row>
    <row r="170" spans="1:9" x14ac:dyDescent="0.25">
      <c r="A170" s="23" t="s">
        <v>67</v>
      </c>
      <c r="B170" s="72" t="s">
        <v>68</v>
      </c>
      <c r="C170" s="72" t="s">
        <v>59</v>
      </c>
      <c r="D170" s="35" t="s">
        <v>60</v>
      </c>
      <c r="F170" s="23" t="s">
        <v>67</v>
      </c>
      <c r="G170" s="72" t="s">
        <v>68</v>
      </c>
      <c r="H170" s="72" t="s">
        <v>59</v>
      </c>
      <c r="I170" s="35" t="s">
        <v>60</v>
      </c>
    </row>
    <row r="171" spans="1:9" x14ac:dyDescent="0.25">
      <c r="A171" s="182">
        <v>1</v>
      </c>
      <c r="B171" s="185" t="s">
        <v>69</v>
      </c>
      <c r="C171" s="55" t="s">
        <v>107</v>
      </c>
      <c r="D171" s="26" t="str">
        <f>IF(AND(NOT(ISBLANK(PartnerType)),OR(NOT(ConfigureMailboxes=FALSE),ISBLANK(ConfigureMailboxes))),CONCATENATE(BatchRootMailbox,"/DSV_",UserAccount,"_mb"),"")</f>
        <v/>
      </c>
      <c r="F171" s="182">
        <v>1</v>
      </c>
      <c r="G171" s="185" t="s">
        <v>69</v>
      </c>
      <c r="H171" s="55" t="s">
        <v>107</v>
      </c>
      <c r="I171" s="26" t="str">
        <f>IF(AND(NOT(ISBLANK(PartnerType)),OR(NOT(ConfigureMailboxes=FALSE),ISBLANK(ConfigureMailboxes))),CONCATENATE(BatchRootMailbox,"/DSV_",UserAccount,"_mb"),"")</f>
        <v/>
      </c>
    </row>
    <row r="172" spans="1:9" x14ac:dyDescent="0.25">
      <c r="A172" s="183"/>
      <c r="B172" s="186"/>
      <c r="C172" s="55" t="s">
        <v>69</v>
      </c>
      <c r="D172" s="26" t="str">
        <f>IF(AND(NOT(ISBLANK(PartnerType)),OR(NOT(ConfigureMailboxes=FALSE),ISBLANK(ConfigureMailboxes))),"outbox","")</f>
        <v/>
      </c>
      <c r="F172" s="183"/>
      <c r="G172" s="186"/>
      <c r="H172" s="55" t="s">
        <v>69</v>
      </c>
      <c r="I172" s="26" t="str">
        <f>IF(AND(NOT(ISBLANK(PartnerType)),OR(NOT(ConfigureMailboxes=FALSE),ISBLANK(ConfigureMailboxes))),"outbox_history","")</f>
        <v/>
      </c>
    </row>
    <row r="173" spans="1:9" x14ac:dyDescent="0.25">
      <c r="A173" s="184"/>
      <c r="B173" s="187"/>
      <c r="C173" s="55" t="s">
        <v>81</v>
      </c>
      <c r="D173" s="26" t="str">
        <f>IF(AND(NOT(ISBLANK(PartnerType)),OR(NOT(ConfigureMailboxes=FALSE),ISBLANK(ConfigureMailboxes))),"Batch outbox for "&amp;PartnerName,"")</f>
        <v/>
      </c>
      <c r="F173" s="184"/>
      <c r="G173" s="187"/>
      <c r="H173" s="55" t="s">
        <v>81</v>
      </c>
      <c r="I173" s="26" t="str">
        <f>IF(AND(NOT(ISBLANK(PartnerType)),OR(NOT(ConfigureMailboxes=FALSE),ISBLANK(ConfigureMailboxes))),"Batch History Outbox for "&amp;PartnerName,"")</f>
        <v/>
      </c>
    </row>
    <row r="174" spans="1:9" x14ac:dyDescent="0.25">
      <c r="A174" s="54">
        <v>2</v>
      </c>
      <c r="B174" s="55" t="s">
        <v>108</v>
      </c>
      <c r="C174" s="55" t="s">
        <v>93</v>
      </c>
      <c r="D174" s="26" t="str">
        <f>IF(AND(NOT(ISBLANK(PartnerType)),OR(NOT(ConfigureMailboxes=FALSE),ISBLANK(ConfigureMailboxes))),"Mailbox Administrators","")</f>
        <v/>
      </c>
      <c r="F174" s="54">
        <v>2</v>
      </c>
      <c r="G174" s="55" t="s">
        <v>108</v>
      </c>
      <c r="H174" s="55" t="s">
        <v>93</v>
      </c>
      <c r="I174" s="26" t="str">
        <f>IF(AND(NOT(ISBLANK(PartnerType)),OR(NOT(ConfigureMailboxes=FALSE),ISBLANK(ConfigureMailboxes))),"Mailbox Administrators","")</f>
        <v/>
      </c>
    </row>
    <row r="175" spans="1:9" x14ac:dyDescent="0.25">
      <c r="A175" s="54">
        <v>3</v>
      </c>
      <c r="B175" s="55" t="s">
        <v>109</v>
      </c>
      <c r="C175" s="55" t="s">
        <v>110</v>
      </c>
      <c r="D175" s="71" t="str">
        <f>IF(AND(NOT(ISBLANK(PartnerType)),OR(NOT(ConfigureMailboxes=FALSE),ISBLANK(ConfigureMailboxes))),"&lt;Leave blank&gt;","")</f>
        <v/>
      </c>
      <c r="F175" s="54">
        <v>3</v>
      </c>
      <c r="G175" s="55" t="s">
        <v>109</v>
      </c>
      <c r="H175" s="55" t="s">
        <v>110</v>
      </c>
      <c r="I175" s="71" t="str">
        <f>IF(AND(NOT(ISBLANK(PartnerType)),OR(NOT(ConfigureMailboxes=FALSE),ISBLANK(ConfigureMailboxes))),"&lt;Leave blank&gt;","")</f>
        <v/>
      </c>
    </row>
    <row r="179" spans="1:9" x14ac:dyDescent="0.25">
      <c r="A179" s="23" t="s">
        <v>322</v>
      </c>
      <c r="B179" s="73"/>
    </row>
    <row r="181" spans="1:9" x14ac:dyDescent="0.25">
      <c r="A181" s="16" t="s">
        <v>111</v>
      </c>
      <c r="F181" s="16" t="s">
        <v>318</v>
      </c>
      <c r="I181" s="25"/>
    </row>
    <row r="182" spans="1:9" x14ac:dyDescent="0.25">
      <c r="A182" s="23" t="s">
        <v>67</v>
      </c>
      <c r="B182" s="72" t="s">
        <v>68</v>
      </c>
      <c r="C182" s="72" t="s">
        <v>59</v>
      </c>
      <c r="D182" s="35" t="s">
        <v>60</v>
      </c>
      <c r="F182" s="23" t="s">
        <v>67</v>
      </c>
      <c r="G182" s="72" t="s">
        <v>68</v>
      </c>
      <c r="H182" s="72" t="s">
        <v>59</v>
      </c>
      <c r="I182" s="35" t="s">
        <v>60</v>
      </c>
    </row>
    <row r="183" spans="1:9" x14ac:dyDescent="0.25">
      <c r="A183" s="182">
        <v>1</v>
      </c>
      <c r="B183" s="185" t="s">
        <v>69</v>
      </c>
      <c r="C183" s="55" t="s">
        <v>107</v>
      </c>
      <c r="D183" s="26" t="str">
        <f>IF(AND(NOT(ISBLANK(PartnerType)),OR(NOT(ConfigureMailboxes=FALSE),ISBLANK(ConfigureMailboxes)),NOT(ISBLANK(BatchMailboxMessageType1))),CONCATENATE(BatchRootMailbox,"/DSV_",UserAccount,"_mb/inbox"),"")</f>
        <v/>
      </c>
      <c r="F183" s="182">
        <v>1</v>
      </c>
      <c r="G183" s="185" t="s">
        <v>69</v>
      </c>
      <c r="H183" s="55" t="s">
        <v>107</v>
      </c>
      <c r="I183" s="26" t="str">
        <f>IF(AND(NOT(ISBLANK(PartnerType)),OR(NOT(ConfigureMailboxes=FALSE),ISBLANK(ConfigureMailboxes)),NOT(ISBLANK(BatchMailboxMessageType1))),CONCATENATE(BatchRootMailbox,"/DSV_",UserAccount,"_mb/inbox_history"),"")</f>
        <v/>
      </c>
    </row>
    <row r="184" spans="1:9" x14ac:dyDescent="0.25">
      <c r="A184" s="183"/>
      <c r="B184" s="186"/>
      <c r="C184" s="55" t="s">
        <v>69</v>
      </c>
      <c r="D184" s="26" t="str">
        <f>IF(AND(NOT(ISBLANK(PartnerType)),OR(NOT(ConfigureMailboxes=FALSE),ISBLANK(ConfigureMailboxes)),NOT(ISBLANK(BatchMailboxMessageType1))),LOWER(BatchMailboxMessageType1),"")</f>
        <v/>
      </c>
      <c r="F184" s="183"/>
      <c r="G184" s="186"/>
      <c r="H184" s="55" t="s">
        <v>69</v>
      </c>
      <c r="I184" s="26" t="str">
        <f>IF(AND(NOT(ISBLANK(PartnerType)),OR(NOT(ConfigureMailboxes=FALSE),ISBLANK(ConfigureMailboxes)),NOT(ISBLANK(BatchMailboxMessageType1))),LOWER(BatchMailboxMessageType1),"")</f>
        <v/>
      </c>
    </row>
    <row r="185" spans="1:9" x14ac:dyDescent="0.25">
      <c r="A185" s="184"/>
      <c r="B185" s="187"/>
      <c r="C185" s="55" t="s">
        <v>81</v>
      </c>
      <c r="D185" s="26" t="str">
        <f>IF(AND(NOT(ISBLANK(PartnerType)),OR(NOT(ConfigureMailboxes=FALSE),ISBLANK(ConfigureMailboxes)),NOT(ISBLANK(BatchMailboxMessageType1))),"Inbox for "&amp;PartnerName,"")</f>
        <v/>
      </c>
      <c r="F185" s="184"/>
      <c r="G185" s="187"/>
      <c r="H185" s="55" t="s">
        <v>81</v>
      </c>
      <c r="I185" s="26" t="str">
        <f>IF(AND(NOT(ISBLANK(PartnerType)),OR(NOT(ConfigureMailboxes=FALSE),ISBLANK(ConfigureMailboxes)),NOT(ISBLANK(BatchMailboxMessageType1))),"History Inbox for "&amp;PartnerName,"")</f>
        <v/>
      </c>
    </row>
    <row r="186" spans="1:9" x14ac:dyDescent="0.25">
      <c r="A186" s="54">
        <v>2</v>
      </c>
      <c r="B186" s="55" t="s">
        <v>108</v>
      </c>
      <c r="C186" s="55" t="s">
        <v>93</v>
      </c>
      <c r="D186" s="26" t="str">
        <f>IF(AND(NOT(ISBLANK(PartnerType)),OR(NOT(ConfigureMailboxes=FALSE),ISBLANK(ConfigureMailboxes)),NOT(ISBLANK(BatchMailboxMessageType1))),"Mailbox Administrators","")</f>
        <v/>
      </c>
      <c r="F186" s="54">
        <v>2</v>
      </c>
      <c r="G186" s="55" t="s">
        <v>108</v>
      </c>
      <c r="H186" s="55" t="s">
        <v>93</v>
      </c>
      <c r="I186" s="26" t="str">
        <f>IF(AND(NOT(ISBLANK(PartnerType)),OR(NOT(ConfigureMailboxes=FALSE),ISBLANK(ConfigureMailboxes)),NOT(ISBLANK(BatchMailboxMessageType1))),"Mailbox Administrators","")</f>
        <v/>
      </c>
    </row>
    <row r="187" spans="1:9" x14ac:dyDescent="0.25">
      <c r="A187" s="54">
        <v>3</v>
      </c>
      <c r="B187" s="55" t="s">
        <v>109</v>
      </c>
      <c r="C187" s="55" t="s">
        <v>110</v>
      </c>
      <c r="D187" s="71" t="str">
        <f>IF(AND(NOT(ISBLANK(PartnerType)),OR(NOT(ConfigureMailboxes=FALSE),ISBLANK(ConfigureMailboxes)),NOT(ISBLANK(BatchMailboxMessageType1))),"&lt;Leave blank&gt;","")</f>
        <v/>
      </c>
      <c r="F187" s="54">
        <v>3</v>
      </c>
      <c r="G187" s="55" t="s">
        <v>109</v>
      </c>
      <c r="H187" s="55" t="s">
        <v>110</v>
      </c>
      <c r="I187" s="71" t="str">
        <f>IF(AND(NOT(ISBLANK(PartnerType)),OR(NOT(ConfigureMailboxes=FALSE),ISBLANK(ConfigureMailboxes)),NOT(ISBLANK(BatchMailboxMessageType1))),"&lt;Leave blank&gt;","")</f>
        <v/>
      </c>
    </row>
    <row r="190" spans="1:9" x14ac:dyDescent="0.25">
      <c r="A190" s="16" t="s">
        <v>112</v>
      </c>
      <c r="F190" s="16" t="s">
        <v>319</v>
      </c>
      <c r="I190" s="25"/>
    </row>
    <row r="191" spans="1:9" x14ac:dyDescent="0.25">
      <c r="A191" s="23" t="s">
        <v>67</v>
      </c>
      <c r="B191" s="72" t="s">
        <v>68</v>
      </c>
      <c r="C191" s="72" t="s">
        <v>59</v>
      </c>
      <c r="D191" s="35" t="s">
        <v>60</v>
      </c>
      <c r="F191" s="23" t="s">
        <v>67</v>
      </c>
      <c r="G191" s="72" t="s">
        <v>68</v>
      </c>
      <c r="H191" s="72" t="s">
        <v>59</v>
      </c>
      <c r="I191" s="35" t="s">
        <v>60</v>
      </c>
    </row>
    <row r="192" spans="1:9" x14ac:dyDescent="0.25">
      <c r="A192" s="182">
        <v>1</v>
      </c>
      <c r="B192" s="185" t="s">
        <v>69</v>
      </c>
      <c r="C192" s="55" t="s">
        <v>107</v>
      </c>
      <c r="D192" s="26" t="str">
        <f>IF(AND(NOT(ISBLANK(PartnerType)),OR(NOT(ConfigureMailboxes=FALSE),ISBLANK(ConfigureMailboxes)),NOT(ISBLANK(BatchMailboxMessageType1))),CONCATENATE(BatchRootMailbox,"/DSV_",UserAccount,"_mb/outbox"),"")</f>
        <v/>
      </c>
      <c r="F192" s="182">
        <v>1</v>
      </c>
      <c r="G192" s="185" t="s">
        <v>69</v>
      </c>
      <c r="H192" s="55" t="s">
        <v>107</v>
      </c>
      <c r="I192" s="26" t="str">
        <f>IF(AND(NOT(ISBLANK(PartnerType)),OR(NOT(ConfigureMailboxes=FALSE),ISBLANK(ConfigureMailboxes)),NOT(ISBLANK(BatchMailboxMessageType1))),CONCATENATE(BatchRootMailbox,"/DSV_",UserAccount,"_mb/outbox_history"),"")</f>
        <v/>
      </c>
    </row>
    <row r="193" spans="1:9" x14ac:dyDescent="0.25">
      <c r="A193" s="183"/>
      <c r="B193" s="186"/>
      <c r="C193" s="55" t="s">
        <v>69</v>
      </c>
      <c r="D193" s="26" t="str">
        <f>IF(AND(NOT(ISBLANK(PartnerType)),OR(NOT(ConfigureMailboxes=FALSE),ISBLANK(ConfigureMailboxes)),NOT(ISBLANK(BatchMailboxMessageType1))),LOWER(BatchMailboxMessageType1),"")</f>
        <v/>
      </c>
      <c r="F193" s="183"/>
      <c r="G193" s="186"/>
      <c r="H193" s="55" t="s">
        <v>69</v>
      </c>
      <c r="I193" s="26" t="str">
        <f>IF(AND(NOT(ISBLANK(PartnerType)),OR(NOT(ConfigureMailboxes=FALSE),ISBLANK(ConfigureMailboxes)),NOT(ISBLANK(BatchMailboxMessageType1))),LOWER(BatchMailboxMessageType1),"")</f>
        <v/>
      </c>
    </row>
    <row r="194" spans="1:9" x14ac:dyDescent="0.25">
      <c r="A194" s="184"/>
      <c r="B194" s="187"/>
      <c r="C194" s="55" t="s">
        <v>81</v>
      </c>
      <c r="D194" s="26" t="str">
        <f>IF(AND(NOT(ISBLANK(PartnerType)),OR(NOT(ConfigureMailboxes=FALSE),ISBLANK(ConfigureMailboxes)),NOT(ISBLANK(BatchMailboxMessageType1))),"Outbox for "&amp;PartnerName,"")</f>
        <v/>
      </c>
      <c r="F194" s="184"/>
      <c r="G194" s="187"/>
      <c r="H194" s="55" t="s">
        <v>81</v>
      </c>
      <c r="I194" s="26" t="str">
        <f>IF(AND(NOT(ISBLANK(PartnerType)),OR(NOT(ConfigureMailboxes=FALSE),ISBLANK(ConfigureMailboxes)),NOT(ISBLANK(BatchMailboxMessageType1))),"History Outbox for "&amp;PartnerName,"")</f>
        <v/>
      </c>
    </row>
    <row r="195" spans="1:9" x14ac:dyDescent="0.25">
      <c r="A195" s="54">
        <v>2</v>
      </c>
      <c r="B195" s="55" t="s">
        <v>108</v>
      </c>
      <c r="C195" s="55" t="s">
        <v>93</v>
      </c>
      <c r="D195" s="26" t="str">
        <f>IF(AND(NOT(ISBLANK(PartnerType)),OR(NOT(ConfigureMailboxes=FALSE),ISBLANK(ConfigureMailboxes)),NOT(ISBLANK(BatchMailboxMessageType1))),"Mailbox Administrators","")</f>
        <v/>
      </c>
      <c r="F195" s="54">
        <v>2</v>
      </c>
      <c r="G195" s="55" t="s">
        <v>108</v>
      </c>
      <c r="H195" s="55" t="s">
        <v>93</v>
      </c>
      <c r="I195" s="26" t="str">
        <f>IF(AND(NOT(ISBLANK(PartnerType)),OR(NOT(ConfigureMailboxes=FALSE),ISBLANK(ConfigureMailboxes)),NOT(ISBLANK(BatchMailboxMessageType1))),"Mailbox Administrators","")</f>
        <v/>
      </c>
    </row>
    <row r="196" spans="1:9" x14ac:dyDescent="0.25">
      <c r="A196" s="54">
        <v>3</v>
      </c>
      <c r="B196" s="55" t="s">
        <v>109</v>
      </c>
      <c r="C196" s="55" t="s">
        <v>110</v>
      </c>
      <c r="D196" s="71" t="str">
        <f>IF(AND(NOT(ISBLANK(PartnerType)),OR(NOT(ConfigureMailboxes=FALSE),ISBLANK(ConfigureMailboxes)),NOT(ISBLANK(BatchMailboxMessageType1))),"&lt;Leave blank&gt;","")</f>
        <v/>
      </c>
      <c r="F196" s="54">
        <v>3</v>
      </c>
      <c r="G196" s="55" t="s">
        <v>109</v>
      </c>
      <c r="H196" s="55" t="s">
        <v>110</v>
      </c>
      <c r="I196" s="71" t="str">
        <f>IF(AND(NOT(ISBLANK(PartnerType)),OR(NOT(ConfigureMailboxes=FALSE),ISBLANK(ConfigureMailboxes)),NOT(ISBLANK(BatchMailboxMessageType1))),"&lt;Leave blank&gt;","")</f>
        <v/>
      </c>
    </row>
    <row r="200" spans="1:9" x14ac:dyDescent="0.25">
      <c r="A200" s="23" t="s">
        <v>323</v>
      </c>
      <c r="B200" s="73"/>
    </row>
    <row r="202" spans="1:9" x14ac:dyDescent="0.25">
      <c r="A202" s="16" t="s">
        <v>111</v>
      </c>
      <c r="F202" s="16" t="s">
        <v>318</v>
      </c>
      <c r="I202" s="25"/>
    </row>
    <row r="203" spans="1:9" x14ac:dyDescent="0.25">
      <c r="A203" s="23" t="s">
        <v>67</v>
      </c>
      <c r="B203" s="72" t="s">
        <v>68</v>
      </c>
      <c r="C203" s="72" t="s">
        <v>59</v>
      </c>
      <c r="D203" s="35" t="s">
        <v>60</v>
      </c>
      <c r="F203" s="23" t="s">
        <v>67</v>
      </c>
      <c r="G203" s="72" t="s">
        <v>68</v>
      </c>
      <c r="H203" s="72" t="s">
        <v>59</v>
      </c>
      <c r="I203" s="35" t="s">
        <v>60</v>
      </c>
    </row>
    <row r="204" spans="1:9" x14ac:dyDescent="0.25">
      <c r="A204" s="182">
        <v>1</v>
      </c>
      <c r="B204" s="185" t="s">
        <v>69</v>
      </c>
      <c r="C204" s="55" t="s">
        <v>107</v>
      </c>
      <c r="D204" s="26" t="str">
        <f>IF(AND(NOT(ISBLANK(PartnerType)),OR(NOT(ConfigureMailboxes=FALSE),ISBLANK(ConfigureMailboxes)),NOT(ISBLANK(BatchMailboxMessageType2))),CONCATENATE(BatchRootMailbox,"/DSV_",UserAccount,"_mb/inbox"),"")</f>
        <v/>
      </c>
      <c r="F204" s="182">
        <v>1</v>
      </c>
      <c r="G204" s="185" t="s">
        <v>69</v>
      </c>
      <c r="H204" s="55" t="s">
        <v>107</v>
      </c>
      <c r="I204" s="26" t="str">
        <f>IF(AND(NOT(ISBLANK(PartnerType)),OR(NOT(ConfigureMailboxes=FALSE),ISBLANK(ConfigureMailboxes)),NOT(ISBLANK(BatchMailboxMessageType2))),CONCATENATE(BatchRootMailbox,"/DSV_",UserAccount,"_mb/inbox_history"),"")</f>
        <v/>
      </c>
    </row>
    <row r="205" spans="1:9" x14ac:dyDescent="0.25">
      <c r="A205" s="183"/>
      <c r="B205" s="186"/>
      <c r="C205" s="55" t="s">
        <v>69</v>
      </c>
      <c r="D205" s="26" t="str">
        <f>IF(AND(NOT(ISBLANK(PartnerType)),OR(NOT(ConfigureMailboxes=FALSE),ISBLANK(ConfigureMailboxes)),NOT(ISBLANK(BatchMailboxMessageType2))),LOWER(BatchMailboxMessageType2),"")</f>
        <v/>
      </c>
      <c r="F205" s="183"/>
      <c r="G205" s="186"/>
      <c r="H205" s="55" t="s">
        <v>69</v>
      </c>
      <c r="I205" s="26" t="str">
        <f>IF(AND(NOT(ISBLANK(PartnerType)),OR(NOT(ConfigureMailboxes=FALSE),ISBLANK(ConfigureMailboxes)),NOT(ISBLANK(BatchMailboxMessageType2))),LOWER(BatchMailboxMessageType2),"")</f>
        <v/>
      </c>
    </row>
    <row r="206" spans="1:9" x14ac:dyDescent="0.25">
      <c r="A206" s="184"/>
      <c r="B206" s="187"/>
      <c r="C206" s="55" t="s">
        <v>81</v>
      </c>
      <c r="D206" s="26" t="str">
        <f>IF(AND(NOT(ISBLANK(PartnerType)),OR(NOT(ConfigureMailboxes=FALSE),ISBLANK(ConfigureMailboxes)),NOT(ISBLANK(BatchMailboxMessageType2))),"Inbox for "&amp;PartnerName,"")</f>
        <v/>
      </c>
      <c r="F206" s="184"/>
      <c r="G206" s="187"/>
      <c r="H206" s="55" t="s">
        <v>81</v>
      </c>
      <c r="I206" s="26" t="str">
        <f>IF(AND(NOT(ISBLANK(PartnerType)),OR(NOT(ConfigureMailboxes=FALSE),ISBLANK(ConfigureMailboxes)),NOT(ISBLANK(BatchMailboxMessageType2))),"History Inbox for "&amp;PartnerName,"")</f>
        <v/>
      </c>
    </row>
    <row r="207" spans="1:9" x14ac:dyDescent="0.25">
      <c r="A207" s="54">
        <v>2</v>
      </c>
      <c r="B207" s="55" t="s">
        <v>108</v>
      </c>
      <c r="C207" s="55" t="s">
        <v>93</v>
      </c>
      <c r="D207" s="26" t="str">
        <f>IF(AND(NOT(ISBLANK(PartnerType)),OR(NOT(ConfigureMailboxes=FALSE),ISBLANK(ConfigureMailboxes)),NOT(ISBLANK(BatchMailboxMessageType2))),"Mailbox Administrators","")</f>
        <v/>
      </c>
      <c r="F207" s="54">
        <v>2</v>
      </c>
      <c r="G207" s="55" t="s">
        <v>108</v>
      </c>
      <c r="H207" s="55" t="s">
        <v>93</v>
      </c>
      <c r="I207" s="26" t="str">
        <f>IF(AND(NOT(ISBLANK(PartnerType)),OR(NOT(ConfigureMailboxes=FALSE),ISBLANK(ConfigureMailboxes)),NOT(ISBLANK(BatchMailboxMessageType2))),"Mailbox Administrators","")</f>
        <v/>
      </c>
    </row>
    <row r="208" spans="1:9" x14ac:dyDescent="0.25">
      <c r="A208" s="54">
        <v>3</v>
      </c>
      <c r="B208" s="55" t="s">
        <v>109</v>
      </c>
      <c r="C208" s="55" t="s">
        <v>110</v>
      </c>
      <c r="D208" s="71" t="str">
        <f>IF(AND(NOT(ISBLANK(PartnerType)),OR(NOT(ConfigureMailboxes=FALSE),ISBLANK(ConfigureMailboxes)),NOT(ISBLANK(BatchMailboxMessageType2))),"&lt;Leave blank&gt;","")</f>
        <v/>
      </c>
      <c r="F208" s="54">
        <v>3</v>
      </c>
      <c r="G208" s="55" t="s">
        <v>109</v>
      </c>
      <c r="H208" s="55" t="s">
        <v>110</v>
      </c>
      <c r="I208" s="71" t="str">
        <f>IF(AND(NOT(ISBLANK(PartnerType)),OR(NOT(ConfigureMailboxes=FALSE),ISBLANK(ConfigureMailboxes)),NOT(ISBLANK(BatchMailboxMessageType2))),"&lt;Leave blank&gt;","")</f>
        <v/>
      </c>
    </row>
    <row r="211" spans="1:9" x14ac:dyDescent="0.25">
      <c r="A211" s="16" t="s">
        <v>112</v>
      </c>
      <c r="F211" s="16" t="s">
        <v>319</v>
      </c>
      <c r="I211" s="25"/>
    </row>
    <row r="212" spans="1:9" x14ac:dyDescent="0.25">
      <c r="A212" s="23" t="s">
        <v>67</v>
      </c>
      <c r="B212" s="72" t="s">
        <v>68</v>
      </c>
      <c r="C212" s="72" t="s">
        <v>59</v>
      </c>
      <c r="D212" s="35" t="s">
        <v>60</v>
      </c>
      <c r="F212" s="23" t="s">
        <v>67</v>
      </c>
      <c r="G212" s="72" t="s">
        <v>68</v>
      </c>
      <c r="H212" s="72" t="s">
        <v>59</v>
      </c>
      <c r="I212" s="35" t="s">
        <v>60</v>
      </c>
    </row>
    <row r="213" spans="1:9" x14ac:dyDescent="0.25">
      <c r="A213" s="182">
        <v>1</v>
      </c>
      <c r="B213" s="185" t="s">
        <v>69</v>
      </c>
      <c r="C213" s="55" t="s">
        <v>107</v>
      </c>
      <c r="D213" s="26" t="str">
        <f>IF(AND(NOT(ISBLANK(PartnerType)),OR(NOT(ConfigureMailboxes=FALSE),ISBLANK(ConfigureMailboxes)),NOT(ISBLANK(BatchMailboxMessageType2))),CONCATENATE(BatchRootMailbox,"/DSV_",UserAccount,"_mb/outbox"),"")</f>
        <v/>
      </c>
      <c r="F213" s="182">
        <v>1</v>
      </c>
      <c r="G213" s="185" t="s">
        <v>69</v>
      </c>
      <c r="H213" s="55" t="s">
        <v>107</v>
      </c>
      <c r="I213" s="26" t="str">
        <f>IF(AND(NOT(ISBLANK(PartnerType)),OR(NOT(ConfigureMailboxes=FALSE),ISBLANK(ConfigureMailboxes)),NOT(ISBLANK(BatchMailboxMessageType2))),CONCATENATE(BatchRootMailbox,"/DSV_",UserAccount,"_mb/outbox_history"),"")</f>
        <v/>
      </c>
    </row>
    <row r="214" spans="1:9" x14ac:dyDescent="0.25">
      <c r="A214" s="183"/>
      <c r="B214" s="186"/>
      <c r="C214" s="55" t="s">
        <v>69</v>
      </c>
      <c r="D214" s="26" t="str">
        <f>IF(AND(NOT(ISBLANK(PartnerType)),OR(NOT(ConfigureMailboxes=FALSE),ISBLANK(ConfigureMailboxes)),NOT(ISBLANK(BatchMailboxMessageType2))),LOWER(BatchMailboxMessageType2),"")</f>
        <v/>
      </c>
      <c r="F214" s="183"/>
      <c r="G214" s="186"/>
      <c r="H214" s="55" t="s">
        <v>69</v>
      </c>
      <c r="I214" s="26" t="str">
        <f>IF(AND(NOT(ISBLANK(PartnerType)),OR(NOT(ConfigureMailboxes=FALSE),ISBLANK(ConfigureMailboxes)),NOT(ISBLANK(BatchMailboxMessageType2))),LOWER(BatchMailboxMessageType2),"")</f>
        <v/>
      </c>
    </row>
    <row r="215" spans="1:9" x14ac:dyDescent="0.25">
      <c r="A215" s="184"/>
      <c r="B215" s="187"/>
      <c r="C215" s="55" t="s">
        <v>81</v>
      </c>
      <c r="D215" s="26" t="str">
        <f>IF(AND(NOT(ISBLANK(PartnerType)),OR(NOT(ConfigureMailboxes=FALSE),ISBLANK(ConfigureMailboxes)),NOT(ISBLANK(BatchMailboxMessageType2))),"Outbox for "&amp;PartnerName,"")</f>
        <v/>
      </c>
      <c r="F215" s="184"/>
      <c r="G215" s="187"/>
      <c r="H215" s="55" t="s">
        <v>81</v>
      </c>
      <c r="I215" s="26" t="str">
        <f>IF(AND(NOT(ISBLANK(PartnerType)),OR(NOT(ConfigureMailboxes=FALSE),ISBLANK(ConfigureMailboxes)),NOT(ISBLANK(BatchMailboxMessageType2))),"History Outbox for "&amp;PartnerName,"")</f>
        <v/>
      </c>
    </row>
    <row r="216" spans="1:9" x14ac:dyDescent="0.25">
      <c r="A216" s="54">
        <v>2</v>
      </c>
      <c r="B216" s="55" t="s">
        <v>108</v>
      </c>
      <c r="C216" s="55" t="s">
        <v>93</v>
      </c>
      <c r="D216" s="26" t="str">
        <f>IF(AND(NOT(ISBLANK(PartnerType)),OR(NOT(ConfigureMailboxes=FALSE),ISBLANK(ConfigureMailboxes)),NOT(ISBLANK(BatchMailboxMessageType2))),"Mailbox Administrators","")</f>
        <v/>
      </c>
      <c r="F216" s="54">
        <v>2</v>
      </c>
      <c r="G216" s="55" t="s">
        <v>108</v>
      </c>
      <c r="H216" s="55" t="s">
        <v>93</v>
      </c>
      <c r="I216" s="26" t="str">
        <f>IF(AND(NOT(ISBLANK(PartnerType)),OR(NOT(ConfigureMailboxes=FALSE),ISBLANK(ConfigureMailboxes)),NOT(ISBLANK(BatchMailboxMessageType2))),"Mailbox Administrators","")</f>
        <v/>
      </c>
    </row>
    <row r="217" spans="1:9" x14ac:dyDescent="0.25">
      <c r="A217" s="54">
        <v>3</v>
      </c>
      <c r="B217" s="55" t="s">
        <v>109</v>
      </c>
      <c r="C217" s="55" t="s">
        <v>110</v>
      </c>
      <c r="D217" s="71" t="str">
        <f>IF(AND(NOT(ISBLANK(PartnerType)),OR(NOT(ConfigureMailboxes=FALSE),ISBLANK(ConfigureMailboxes)),NOT(ISBLANK(BatchMailboxMessageType2))),"&lt;Leave blank&gt;","")</f>
        <v/>
      </c>
      <c r="F217" s="54">
        <v>3</v>
      </c>
      <c r="G217" s="55" t="s">
        <v>109</v>
      </c>
      <c r="H217" s="55" t="s">
        <v>110</v>
      </c>
      <c r="I217" s="71" t="str">
        <f>IF(AND(NOT(ISBLANK(PartnerType)),OR(NOT(ConfigureMailboxes=FALSE),ISBLANK(ConfigureMailboxes)),NOT(ISBLANK(BatchMailboxMessageType2))),"&lt;Leave blank&gt;","")</f>
        <v/>
      </c>
    </row>
    <row r="221" spans="1:9" x14ac:dyDescent="0.25">
      <c r="A221" s="23" t="s">
        <v>324</v>
      </c>
      <c r="B221" s="73"/>
    </row>
    <row r="223" spans="1:9" x14ac:dyDescent="0.25">
      <c r="A223" s="16" t="s">
        <v>111</v>
      </c>
      <c r="F223" s="16" t="s">
        <v>318</v>
      </c>
      <c r="I223" s="25"/>
    </row>
    <row r="224" spans="1:9" x14ac:dyDescent="0.25">
      <c r="A224" s="23" t="s">
        <v>67</v>
      </c>
      <c r="B224" s="72" t="s">
        <v>68</v>
      </c>
      <c r="C224" s="72" t="s">
        <v>59</v>
      </c>
      <c r="D224" s="35" t="s">
        <v>60</v>
      </c>
      <c r="F224" s="23" t="s">
        <v>67</v>
      </c>
      <c r="G224" s="72" t="s">
        <v>68</v>
      </c>
      <c r="H224" s="72" t="s">
        <v>59</v>
      </c>
      <c r="I224" s="35" t="s">
        <v>60</v>
      </c>
    </row>
    <row r="225" spans="1:9" x14ac:dyDescent="0.25">
      <c r="A225" s="182">
        <v>1</v>
      </c>
      <c r="B225" s="185" t="s">
        <v>69</v>
      </c>
      <c r="C225" s="55" t="s">
        <v>107</v>
      </c>
      <c r="D225" s="26" t="str">
        <f>IF(AND(NOT(ISBLANK(PartnerType)),OR(NOT(ConfigureMailboxes=FALSE),ISBLANK(ConfigureMailboxes)),NOT(ISBLANK(BatchMailboxMessageType3))),CONCATENATE(BatchRootMailbox,"/DSV_",UserAccount,"_mb/inbox"),"")</f>
        <v/>
      </c>
      <c r="F225" s="182">
        <v>1</v>
      </c>
      <c r="G225" s="185" t="s">
        <v>69</v>
      </c>
      <c r="H225" s="55" t="s">
        <v>107</v>
      </c>
      <c r="I225" s="26" t="str">
        <f>IF(AND(NOT(ISBLANK(PartnerType)),OR(NOT(ConfigureMailboxes=FALSE),ISBLANK(ConfigureMailboxes)),NOT(ISBLANK(BatchMailboxMessageType3))),CONCATENATE(BatchRootMailbox,"DSV_",UserAccount,"_mb/inbox_history"),"")</f>
        <v/>
      </c>
    </row>
    <row r="226" spans="1:9" x14ac:dyDescent="0.25">
      <c r="A226" s="183"/>
      <c r="B226" s="186"/>
      <c r="C226" s="55" t="s">
        <v>69</v>
      </c>
      <c r="D226" s="26" t="str">
        <f>IF(AND(NOT(ISBLANK(PartnerType)),OR(NOT(ConfigureMailboxes=FALSE),ISBLANK(ConfigureMailboxes)),NOT(ISBLANK(BatchMailboxMessageType3))),LOWER(BatchMailboxMessageType3),"")</f>
        <v/>
      </c>
      <c r="F226" s="183"/>
      <c r="G226" s="186"/>
      <c r="H226" s="55" t="s">
        <v>69</v>
      </c>
      <c r="I226" s="26" t="str">
        <f>IF(AND(NOT(ISBLANK(PartnerType)),OR(NOT(ConfigureMailboxes=FALSE),ISBLANK(ConfigureMailboxes)),NOT(ISBLANK(BatchMailboxMessageType3))),LOWER(BatchMailboxMessageType3),"")</f>
        <v/>
      </c>
    </row>
    <row r="227" spans="1:9" x14ac:dyDescent="0.25">
      <c r="A227" s="184"/>
      <c r="B227" s="187"/>
      <c r="C227" s="55" t="s">
        <v>81</v>
      </c>
      <c r="D227" s="26" t="str">
        <f>IF(AND(NOT(ISBLANK(PartnerType)),OR(NOT(ConfigureMailboxes=FALSE),ISBLANK(ConfigureMailboxes)),NOT(ISBLANK(BatchMailboxMessageType3))),"Inbox for "&amp;PartnerName,"")</f>
        <v/>
      </c>
      <c r="F227" s="184"/>
      <c r="G227" s="187"/>
      <c r="H227" s="55" t="s">
        <v>81</v>
      </c>
      <c r="I227" s="26" t="str">
        <f>IF(AND(NOT(ISBLANK(PartnerType)),OR(NOT(ConfigureMailboxes=FALSE),ISBLANK(ConfigureMailboxes)),NOT(ISBLANK(BatchMailboxMessageType3))),"History Inbox for "&amp;PartnerName,"")</f>
        <v/>
      </c>
    </row>
    <row r="228" spans="1:9" x14ac:dyDescent="0.25">
      <c r="A228" s="54">
        <v>2</v>
      </c>
      <c r="B228" s="55" t="s">
        <v>108</v>
      </c>
      <c r="C228" s="55" t="s">
        <v>93</v>
      </c>
      <c r="D228" s="26" t="str">
        <f>IF(AND(NOT(ISBLANK(PartnerType)),OR(NOT(ConfigureMailboxes=FALSE),ISBLANK(ConfigureMailboxes)),NOT(ISBLANK(BatchMailboxMessageType3))),"Mailbox Administrators","")</f>
        <v/>
      </c>
      <c r="F228" s="54">
        <v>2</v>
      </c>
      <c r="G228" s="55" t="s">
        <v>108</v>
      </c>
      <c r="H228" s="55" t="s">
        <v>93</v>
      </c>
      <c r="I228" s="26" t="str">
        <f>IF(AND(NOT(ISBLANK(PartnerType)),OR(NOT(ConfigureMailboxes=FALSE),ISBLANK(ConfigureMailboxes)),NOT(ISBLANK(BatchMailboxMessageType3))),"Mailbox Administrators","")</f>
        <v/>
      </c>
    </row>
    <row r="229" spans="1:9" x14ac:dyDescent="0.25">
      <c r="A229" s="54">
        <v>3</v>
      </c>
      <c r="B229" s="55" t="s">
        <v>109</v>
      </c>
      <c r="C229" s="55" t="s">
        <v>110</v>
      </c>
      <c r="D229" s="71" t="str">
        <f>IF(AND(NOT(ISBLANK(PartnerType)),OR(NOT(ConfigureMailboxes=FALSE),ISBLANK(ConfigureMailboxes)),NOT(ISBLANK(BatchMailboxMessageType3))),"&lt;Leave blank&gt;","")</f>
        <v/>
      </c>
      <c r="F229" s="54">
        <v>3</v>
      </c>
      <c r="G229" s="55" t="s">
        <v>109</v>
      </c>
      <c r="H229" s="55" t="s">
        <v>110</v>
      </c>
      <c r="I229" s="71" t="str">
        <f>IF(AND(NOT(ISBLANK(PartnerType)),OR(NOT(ConfigureMailboxes=FALSE),ISBLANK(ConfigureMailboxes)),NOT(ISBLANK(BatchMailboxMessageType3))),"&lt;Leave blank&gt;","")</f>
        <v/>
      </c>
    </row>
    <row r="232" spans="1:9" x14ac:dyDescent="0.25">
      <c r="A232" s="16" t="s">
        <v>112</v>
      </c>
      <c r="F232" s="16" t="s">
        <v>319</v>
      </c>
      <c r="I232" s="25"/>
    </row>
    <row r="233" spans="1:9" x14ac:dyDescent="0.25">
      <c r="A233" s="23" t="s">
        <v>67</v>
      </c>
      <c r="B233" s="72" t="s">
        <v>68</v>
      </c>
      <c r="C233" s="72" t="s">
        <v>59</v>
      </c>
      <c r="D233" s="35" t="s">
        <v>60</v>
      </c>
      <c r="F233" s="23" t="s">
        <v>67</v>
      </c>
      <c r="G233" s="72" t="s">
        <v>68</v>
      </c>
      <c r="H233" s="72" t="s">
        <v>59</v>
      </c>
      <c r="I233" s="35" t="s">
        <v>60</v>
      </c>
    </row>
    <row r="234" spans="1:9" x14ac:dyDescent="0.25">
      <c r="A234" s="182">
        <v>1</v>
      </c>
      <c r="B234" s="185" t="s">
        <v>69</v>
      </c>
      <c r="C234" s="55" t="s">
        <v>107</v>
      </c>
      <c r="D234" s="26" t="str">
        <f>IF(AND(NOT(ISBLANK(PartnerType)),OR(NOT(ConfigureMailboxes=FALSE),ISBLANK(ConfigureMailboxes)),NOT(ISBLANK(BatchMailboxMessageType3))),CONCATENATE(BatchRootMailbox,"/DSV_",UserAccount,"_mb/outbox"),"")</f>
        <v/>
      </c>
      <c r="F234" s="182">
        <v>1</v>
      </c>
      <c r="G234" s="185" t="s">
        <v>69</v>
      </c>
      <c r="H234" s="55" t="s">
        <v>107</v>
      </c>
      <c r="I234" s="26" t="str">
        <f>IF(AND(NOT(ISBLANK(PartnerType)),OR(NOT(ConfigureMailboxes=FALSE),ISBLANK(ConfigureMailboxes)),NOT(ISBLANK(BatchMailboxMessageType3))),CONCATENATE(BatchRootMailbox,"/DSV_",UserAccount,"_mb/outbox_history"),"")</f>
        <v/>
      </c>
    </row>
    <row r="235" spans="1:9" x14ac:dyDescent="0.25">
      <c r="A235" s="183"/>
      <c r="B235" s="186"/>
      <c r="C235" s="55" t="s">
        <v>69</v>
      </c>
      <c r="D235" s="26" t="str">
        <f>IF(AND(NOT(ISBLANK(PartnerType)),OR(NOT(ConfigureMailboxes=FALSE),ISBLANK(ConfigureMailboxes)),NOT(ISBLANK(BatchMailboxMessageType3))),LOWER(BatchMailboxMessageType3),"")</f>
        <v/>
      </c>
      <c r="F235" s="183"/>
      <c r="G235" s="186"/>
      <c r="H235" s="55" t="s">
        <v>69</v>
      </c>
      <c r="I235" s="26" t="str">
        <f>IF(AND(NOT(ISBLANK(PartnerType)),OR(NOT(ConfigureMailboxes=FALSE),ISBLANK(ConfigureMailboxes)),NOT(ISBLANK(BatchMailboxMessageType3))),LOWER(BatchMailboxMessageType3),"")</f>
        <v/>
      </c>
    </row>
    <row r="236" spans="1:9" x14ac:dyDescent="0.25">
      <c r="A236" s="184"/>
      <c r="B236" s="187"/>
      <c r="C236" s="55" t="s">
        <v>81</v>
      </c>
      <c r="D236" s="26" t="str">
        <f>IF(AND(NOT(ISBLANK(PartnerType)),OR(NOT(ConfigureMailboxes=FALSE),ISBLANK(ConfigureMailboxes)),NOT(ISBLANK(BatchMailboxMessageType3))),"Outbox for "&amp;PartnerName,"")</f>
        <v/>
      </c>
      <c r="F236" s="184"/>
      <c r="G236" s="187"/>
      <c r="H236" s="55" t="s">
        <v>81</v>
      </c>
      <c r="I236" s="26" t="str">
        <f>IF(AND(NOT(ISBLANK(PartnerType)),OR(NOT(ConfigureMailboxes=FALSE),ISBLANK(ConfigureMailboxes)),NOT(ISBLANK(BatchMailboxMessageType3))),"History Outbox for "&amp;PartnerName,"")</f>
        <v/>
      </c>
    </row>
    <row r="237" spans="1:9" x14ac:dyDescent="0.25">
      <c r="A237" s="54">
        <v>2</v>
      </c>
      <c r="B237" s="55" t="s">
        <v>108</v>
      </c>
      <c r="C237" s="55" t="s">
        <v>93</v>
      </c>
      <c r="D237" s="26" t="str">
        <f>IF(AND(NOT(ISBLANK(PartnerType)),OR(NOT(ConfigureMailboxes=FALSE),ISBLANK(ConfigureMailboxes)),NOT(ISBLANK(BatchMailboxMessageType3))),"Mailbox Administrators","")</f>
        <v/>
      </c>
      <c r="F237" s="54">
        <v>2</v>
      </c>
      <c r="G237" s="55" t="s">
        <v>108</v>
      </c>
      <c r="H237" s="55" t="s">
        <v>93</v>
      </c>
      <c r="I237" s="26" t="str">
        <f>IF(AND(NOT(ISBLANK(PartnerType)),OR(NOT(ConfigureMailboxes=FALSE),ISBLANK(ConfigureMailboxes)),NOT(ISBLANK(BatchMailboxMessageType3))),"Mailbox Administrators","")</f>
        <v/>
      </c>
    </row>
    <row r="238" spans="1:9" x14ac:dyDescent="0.25">
      <c r="A238" s="54">
        <v>3</v>
      </c>
      <c r="B238" s="55" t="s">
        <v>109</v>
      </c>
      <c r="C238" s="55" t="s">
        <v>110</v>
      </c>
      <c r="D238" s="71" t="str">
        <f>IF(AND(NOT(ISBLANK(PartnerType)),OR(NOT(ConfigureMailboxes=FALSE),ISBLANK(ConfigureMailboxes)),NOT(ISBLANK(BatchMailboxMessageType3))),"&lt;Leave blank&gt;","")</f>
        <v/>
      </c>
      <c r="F238" s="54">
        <v>3</v>
      </c>
      <c r="G238" s="55" t="s">
        <v>109</v>
      </c>
      <c r="H238" s="55" t="s">
        <v>110</v>
      </c>
      <c r="I238" s="71" t="str">
        <f>IF(AND(NOT(ISBLANK(PartnerType)),OR(NOT(ConfigureMailboxes=FALSE),ISBLANK(ConfigureMailboxes)),NOT(ISBLANK(BatchMailboxMessageType3))),"&lt;Leave blank&gt;","")</f>
        <v/>
      </c>
    </row>
    <row r="242" spans="1:9" x14ac:dyDescent="0.25">
      <c r="A242" s="23" t="s">
        <v>325</v>
      </c>
      <c r="B242" s="73"/>
    </row>
    <row r="244" spans="1:9" x14ac:dyDescent="0.25">
      <c r="A244" s="16" t="s">
        <v>111</v>
      </c>
      <c r="F244" s="16" t="s">
        <v>318</v>
      </c>
      <c r="I244" s="25"/>
    </row>
    <row r="245" spans="1:9" x14ac:dyDescent="0.25">
      <c r="A245" s="23" t="s">
        <v>67</v>
      </c>
      <c r="B245" s="72" t="s">
        <v>68</v>
      </c>
      <c r="C245" s="72" t="s">
        <v>59</v>
      </c>
      <c r="D245" s="35" t="s">
        <v>60</v>
      </c>
      <c r="F245" s="23" t="s">
        <v>67</v>
      </c>
      <c r="G245" s="72" t="s">
        <v>68</v>
      </c>
      <c r="H245" s="72" t="s">
        <v>59</v>
      </c>
      <c r="I245" s="35" t="s">
        <v>60</v>
      </c>
    </row>
    <row r="246" spans="1:9" x14ac:dyDescent="0.25">
      <c r="A246" s="182">
        <v>1</v>
      </c>
      <c r="B246" s="185" t="s">
        <v>69</v>
      </c>
      <c r="C246" s="55" t="s">
        <v>107</v>
      </c>
      <c r="D246" s="26" t="str">
        <f>IF(AND(NOT(ISBLANK(PartnerType)),OR(NOT(ConfigureMailboxes=FALSE),ISBLANK(ConfigureMailboxes)),NOT(ISBLANK(BatchMailboxMessageType4))),CONCATENATE(BatchRootMailbox,"/DSV_",UserAccount,"_mb/inbox"),"")</f>
        <v/>
      </c>
      <c r="F246" s="182">
        <v>1</v>
      </c>
      <c r="G246" s="185" t="s">
        <v>69</v>
      </c>
      <c r="H246" s="55" t="s">
        <v>107</v>
      </c>
      <c r="I246" s="26" t="str">
        <f>IF(AND(NOT(ISBLANK(PartnerType)),OR(NOT(ConfigureMailboxes=FALSE),ISBLANK(ConfigureMailboxes)),NOT(ISBLANK(BatchMailboxMessageType4))),CONCATENATE(BatchRootMailbox,"/DSV_",UserAccount,"_mb/inbox_history"),"")</f>
        <v/>
      </c>
    </row>
    <row r="247" spans="1:9" x14ac:dyDescent="0.25">
      <c r="A247" s="183"/>
      <c r="B247" s="186"/>
      <c r="C247" s="55" t="s">
        <v>69</v>
      </c>
      <c r="D247" s="26" t="str">
        <f>IF(AND(NOT(ISBLANK(PartnerType)),OR(NOT(ConfigureMailboxes=FALSE),ISBLANK(ConfigureMailboxes)),NOT(ISBLANK(BatchMailboxMessageType4))),LOWER(BatchMailboxMessageType4),"")</f>
        <v/>
      </c>
      <c r="F247" s="183"/>
      <c r="G247" s="186"/>
      <c r="H247" s="55" t="s">
        <v>69</v>
      </c>
      <c r="I247" s="26" t="str">
        <f>IF(AND(NOT(ISBLANK(PartnerType)),OR(NOT(ConfigureMailboxes=FALSE),ISBLANK(ConfigureMailboxes)),NOT(ISBLANK(BatchMailboxMessageType4))),LOWER(BatchMailboxMessageType4),"")</f>
        <v/>
      </c>
    </row>
    <row r="248" spans="1:9" x14ac:dyDescent="0.25">
      <c r="A248" s="184"/>
      <c r="B248" s="187"/>
      <c r="C248" s="55" t="s">
        <v>81</v>
      </c>
      <c r="D248" s="26" t="str">
        <f>IF(AND(NOT(ISBLANK(PartnerType)),OR(NOT(ConfigureMailboxes=FALSE),ISBLANK(ConfigureMailboxes)),NOT(ISBLANK(BatchMailboxMessageType4))),"Inbox for "&amp;PartnerName,"")</f>
        <v/>
      </c>
      <c r="F248" s="184"/>
      <c r="G248" s="187"/>
      <c r="H248" s="55" t="s">
        <v>81</v>
      </c>
      <c r="I248" s="26" t="str">
        <f>IF(AND(NOT(ISBLANK(PartnerType)),OR(NOT(ConfigureMailboxes=FALSE),ISBLANK(ConfigureMailboxes)),NOT(ISBLANK(BatchMailboxMessageType4))),"History Inbox for "&amp;PartnerName,"")</f>
        <v/>
      </c>
    </row>
    <row r="249" spans="1:9" x14ac:dyDescent="0.25">
      <c r="A249" s="54">
        <v>2</v>
      </c>
      <c r="B249" s="55" t="s">
        <v>108</v>
      </c>
      <c r="C249" s="55" t="s">
        <v>93</v>
      </c>
      <c r="D249" s="26" t="str">
        <f>IF(AND(NOT(ISBLANK(PartnerType)),OR(NOT(ConfigureMailboxes=FALSE),ISBLANK(ConfigureMailboxes)),NOT(ISBLANK(BatchMailboxMessageType4))),"Mailbox Administrators","")</f>
        <v/>
      </c>
      <c r="F249" s="54">
        <v>2</v>
      </c>
      <c r="G249" s="55" t="s">
        <v>108</v>
      </c>
      <c r="H249" s="55" t="s">
        <v>93</v>
      </c>
      <c r="I249" s="26" t="str">
        <f>IF(AND(NOT(ISBLANK(PartnerType)),OR(NOT(ConfigureMailboxes=FALSE),ISBLANK(ConfigureMailboxes)),NOT(ISBLANK(BatchMailboxMessageType4))),"Mailbox Administrators","")</f>
        <v/>
      </c>
    </row>
    <row r="250" spans="1:9" x14ac:dyDescent="0.25">
      <c r="A250" s="54">
        <v>3</v>
      </c>
      <c r="B250" s="55" t="s">
        <v>109</v>
      </c>
      <c r="C250" s="55" t="s">
        <v>110</v>
      </c>
      <c r="D250" s="71" t="str">
        <f>IF(AND(NOT(ISBLANK(PartnerType)),OR(NOT(ConfigureMailboxes=FALSE),ISBLANK(ConfigureMailboxes)),NOT(ISBLANK(BatchMailboxMessageType4))),"&lt;Leave blank&gt;","")</f>
        <v/>
      </c>
      <c r="F250" s="54">
        <v>3</v>
      </c>
      <c r="G250" s="55" t="s">
        <v>109</v>
      </c>
      <c r="H250" s="55" t="s">
        <v>110</v>
      </c>
      <c r="I250" s="71" t="str">
        <f>IF(AND(NOT(ISBLANK(PartnerType)),OR(NOT(ConfigureMailboxes=FALSE),ISBLANK(ConfigureMailboxes)),NOT(ISBLANK(BatchMailboxMessageType4))),"&lt;Leave blank&gt;","")</f>
        <v/>
      </c>
    </row>
    <row r="253" spans="1:9" x14ac:dyDescent="0.25">
      <c r="A253" s="16" t="s">
        <v>112</v>
      </c>
      <c r="F253" s="16" t="s">
        <v>319</v>
      </c>
      <c r="I253" s="25"/>
    </row>
    <row r="254" spans="1:9" x14ac:dyDescent="0.25">
      <c r="A254" s="23" t="s">
        <v>67</v>
      </c>
      <c r="B254" s="72" t="s">
        <v>68</v>
      </c>
      <c r="C254" s="72" t="s">
        <v>59</v>
      </c>
      <c r="D254" s="35" t="s">
        <v>60</v>
      </c>
      <c r="F254" s="23" t="s">
        <v>67</v>
      </c>
      <c r="G254" s="72" t="s">
        <v>68</v>
      </c>
      <c r="H254" s="72" t="s">
        <v>59</v>
      </c>
      <c r="I254" s="35" t="s">
        <v>60</v>
      </c>
    </row>
    <row r="255" spans="1:9" x14ac:dyDescent="0.25">
      <c r="A255" s="182">
        <v>1</v>
      </c>
      <c r="B255" s="185" t="s">
        <v>69</v>
      </c>
      <c r="C255" s="55" t="s">
        <v>107</v>
      </c>
      <c r="D255" s="26" t="str">
        <f>IF(AND(NOT(ISBLANK(PartnerType)),OR(NOT(ConfigureMailboxes=FALSE),ISBLANK(ConfigureMailboxes)),NOT(ISBLANK(BatchMailboxMessageType4))),CONCATENATE(BatchRootMailbox,"/DSV_",UserAccount,"_mb/outbox"),"")</f>
        <v/>
      </c>
      <c r="F255" s="182">
        <v>1</v>
      </c>
      <c r="G255" s="185" t="s">
        <v>69</v>
      </c>
      <c r="H255" s="55" t="s">
        <v>107</v>
      </c>
      <c r="I255" s="26" t="str">
        <f>IF(AND(NOT(ISBLANK(PartnerType)),OR(NOT(ConfigureMailboxes=FALSE),ISBLANK(ConfigureMailboxes)),NOT(ISBLANK(BatchMailboxMessageType4))),CONCATENATE(BatchRootMailbox,"/DSV_",UserAccount,"_mb/outbox_history"),"")</f>
        <v/>
      </c>
    </row>
    <row r="256" spans="1:9" x14ac:dyDescent="0.25">
      <c r="A256" s="183"/>
      <c r="B256" s="186"/>
      <c r="C256" s="55" t="s">
        <v>69</v>
      </c>
      <c r="D256" s="26" t="str">
        <f>IF(AND(NOT(ISBLANK(PartnerType)),OR(NOT(ConfigureMailboxes=FALSE),ISBLANK(ConfigureMailboxes)),NOT(ISBLANK(BatchMailboxMessageType4))),LOWER(BatchMailboxMessageType4),"")</f>
        <v/>
      </c>
      <c r="F256" s="183"/>
      <c r="G256" s="186"/>
      <c r="H256" s="55" t="s">
        <v>69</v>
      </c>
      <c r="I256" s="26" t="str">
        <f>IF(AND(NOT(ISBLANK(PartnerType)),OR(NOT(ConfigureMailboxes=FALSE),ISBLANK(ConfigureMailboxes)),NOT(ISBLANK(BatchMailboxMessageType4))),LOWER(BatchMailboxMessageType4),"")</f>
        <v/>
      </c>
    </row>
    <row r="257" spans="1:9" x14ac:dyDescent="0.25">
      <c r="A257" s="184"/>
      <c r="B257" s="187"/>
      <c r="C257" s="55" t="s">
        <v>81</v>
      </c>
      <c r="D257" s="26" t="str">
        <f>IF(AND(NOT(ISBLANK(PartnerType)),OR(NOT(ConfigureMailboxes=FALSE),ISBLANK(ConfigureMailboxes)),NOT(ISBLANK(BatchMailboxMessageType4))),"Outbox for "&amp;PartnerName,"")</f>
        <v/>
      </c>
      <c r="F257" s="184"/>
      <c r="G257" s="187"/>
      <c r="H257" s="55" t="s">
        <v>81</v>
      </c>
      <c r="I257" s="26" t="str">
        <f>IF(AND(NOT(ISBLANK(PartnerType)),OR(NOT(ConfigureMailboxes=FALSE),ISBLANK(ConfigureMailboxes)),NOT(ISBLANK(BatchMailboxMessageType4))),"History Outbox for "&amp;PartnerName,"")</f>
        <v/>
      </c>
    </row>
    <row r="258" spans="1:9" x14ac:dyDescent="0.25">
      <c r="A258" s="54">
        <v>2</v>
      </c>
      <c r="B258" s="55" t="s">
        <v>108</v>
      </c>
      <c r="C258" s="55" t="s">
        <v>93</v>
      </c>
      <c r="D258" s="26" t="str">
        <f>IF(AND(NOT(ISBLANK(PartnerType)),OR(NOT(ConfigureMailboxes=FALSE),ISBLANK(ConfigureMailboxes)),NOT(ISBLANK(BatchMailboxMessageType4))),"Mailbox Administrators","")</f>
        <v/>
      </c>
      <c r="F258" s="54">
        <v>2</v>
      </c>
      <c r="G258" s="55" t="s">
        <v>108</v>
      </c>
      <c r="H258" s="55" t="s">
        <v>93</v>
      </c>
      <c r="I258" s="26" t="str">
        <f>IF(AND(NOT(ISBLANK(PartnerType)),OR(NOT(ConfigureMailboxes=FALSE),ISBLANK(ConfigureMailboxes)),NOT(ISBLANK(BatchMailboxMessageType4))),"Mailbox Administrators","")</f>
        <v/>
      </c>
    </row>
    <row r="259" spans="1:9" x14ac:dyDescent="0.25">
      <c r="A259" s="54">
        <v>3</v>
      </c>
      <c r="B259" s="55" t="s">
        <v>109</v>
      </c>
      <c r="C259" s="55" t="s">
        <v>110</v>
      </c>
      <c r="D259" s="71" t="str">
        <f>IF(AND(NOT(ISBLANK(PartnerType)),OR(NOT(ConfigureMailboxes=FALSE),ISBLANK(ConfigureMailboxes)),NOT(ISBLANK(BatchMailboxMessageType4))),"&lt;Leave blank&gt;","")</f>
        <v/>
      </c>
      <c r="F259" s="54">
        <v>3</v>
      </c>
      <c r="G259" s="55" t="s">
        <v>109</v>
      </c>
      <c r="H259" s="55" t="s">
        <v>110</v>
      </c>
      <c r="I259" s="71" t="str">
        <f>IF(AND(NOT(ISBLANK(PartnerType)),OR(NOT(ConfigureMailboxes=FALSE),ISBLANK(ConfigureMailboxes)),NOT(ISBLANK(BatchMailboxMessageType4))),"&lt;Leave blank&gt;","")</f>
        <v/>
      </c>
    </row>
    <row r="331" spans="1:4" x14ac:dyDescent="0.25">
      <c r="A331" s="35" t="s">
        <v>744</v>
      </c>
    </row>
    <row r="333" spans="1:4" x14ac:dyDescent="0.25">
      <c r="A333" s="16"/>
    </row>
    <row r="334" spans="1:4" x14ac:dyDescent="0.25">
      <c r="A334" s="23" t="s">
        <v>67</v>
      </c>
      <c r="B334" s="72" t="s">
        <v>68</v>
      </c>
      <c r="C334" s="72" t="s">
        <v>59</v>
      </c>
      <c r="D334" s="35" t="s">
        <v>60</v>
      </c>
    </row>
    <row r="335" spans="1:4" x14ac:dyDescent="0.25">
      <c r="A335" s="182">
        <v>1</v>
      </c>
      <c r="B335" s="185" t="s">
        <v>69</v>
      </c>
      <c r="C335" s="55" t="s">
        <v>107</v>
      </c>
      <c r="D335" s="26" t="str">
        <f>IF(AND(NOT(ISBLANK(PartnerType)),OR(NOT(ConfigureAS2=FALSE),ISBLANK(ConfigureAS2)),Framework="DSV"),CONCATENATE("/DSV_ACCOUNTS_mb/DSV_AS2_mb/DSV_",IF(PartnerType="cus","CUSTOMERS",IF(PartnerType="par","PARTNERS",IF(PartnerType="dsv","INTERNALS",IF(PartnerType="util","UTIL","Somehow a Partner Type is missing")))),"_mb"),"")</f>
        <v/>
      </c>
    </row>
    <row r="336" spans="1:4" x14ac:dyDescent="0.25">
      <c r="A336" s="183"/>
      <c r="B336" s="186"/>
      <c r="C336" s="55" t="s">
        <v>69</v>
      </c>
      <c r="D336" s="26" t="str">
        <f>IF(AND(NOT(ISBLANK(PartnerType)),OR(NOT(ConfigureAS2=FALSE),ISBLANK(ConfigureAS2)),Framework="DSV"),"DSV_"&amp;UserAccount&amp;"_mb","")</f>
        <v/>
      </c>
    </row>
    <row r="337" spans="1:4" x14ac:dyDescent="0.25">
      <c r="A337" s="184"/>
      <c r="B337" s="187"/>
      <c r="C337" s="55" t="s">
        <v>81</v>
      </c>
      <c r="D337" s="26" t="str">
        <f>IF(AND(NOT(ISBLANK(PartnerType)),OR(NOT(ConfigureAS2=FALSE),ISBLANK(ConfigureAS2)),Framework="DSV"),"Root mailbox for "&amp;PartnerName&amp;" for AS2","")</f>
        <v/>
      </c>
    </row>
    <row r="338" spans="1:4" x14ac:dyDescent="0.25">
      <c r="A338" s="54">
        <v>2</v>
      </c>
      <c r="B338" s="55" t="s">
        <v>108</v>
      </c>
      <c r="C338" s="55" t="s">
        <v>93</v>
      </c>
      <c r="D338" s="26" t="str">
        <f>IF(AND(NOT(ISBLANK(PartnerType)),OR(NOT(ConfigureAS2=FALSE),ISBLANK(ConfigureAS2)),Framework="DSV"),"Mailbox Administrators","")</f>
        <v/>
      </c>
    </row>
    <row r="339" spans="1:4" x14ac:dyDescent="0.25">
      <c r="A339" s="54">
        <v>3</v>
      </c>
      <c r="B339" s="55" t="s">
        <v>109</v>
      </c>
      <c r="C339" s="55" t="s">
        <v>110</v>
      </c>
      <c r="D339" s="71" t="str">
        <f>IF(AND(NOT(ISBLANK(PartnerType)),OR(NOT(ConfigureAS2=FALSE),ISBLANK(ConfigureAS2)),Framework="DSV"),"&lt;Leave empty&gt;","")</f>
        <v/>
      </c>
    </row>
  </sheetData>
  <mergeCells count="96">
    <mergeCell ref="A246:A248"/>
    <mergeCell ref="B246:B248"/>
    <mergeCell ref="F246:F248"/>
    <mergeCell ref="G246:G248"/>
    <mergeCell ref="A255:A257"/>
    <mergeCell ref="B255:B257"/>
    <mergeCell ref="F255:F257"/>
    <mergeCell ref="G255:G257"/>
    <mergeCell ref="A225:A227"/>
    <mergeCell ref="B225:B227"/>
    <mergeCell ref="F225:F227"/>
    <mergeCell ref="G225:G227"/>
    <mergeCell ref="A234:A236"/>
    <mergeCell ref="B234:B236"/>
    <mergeCell ref="F234:F236"/>
    <mergeCell ref="G234:G236"/>
    <mergeCell ref="A204:A206"/>
    <mergeCell ref="B204:B206"/>
    <mergeCell ref="F204:F206"/>
    <mergeCell ref="G204:G206"/>
    <mergeCell ref="A213:A215"/>
    <mergeCell ref="B213:B215"/>
    <mergeCell ref="F213:F215"/>
    <mergeCell ref="G213:G215"/>
    <mergeCell ref="A183:A185"/>
    <mergeCell ref="B183:B185"/>
    <mergeCell ref="F183:F185"/>
    <mergeCell ref="G183:G185"/>
    <mergeCell ref="A192:A194"/>
    <mergeCell ref="B192:B194"/>
    <mergeCell ref="F192:F194"/>
    <mergeCell ref="G192:G194"/>
    <mergeCell ref="A162:A164"/>
    <mergeCell ref="B162:B164"/>
    <mergeCell ref="F162:F164"/>
    <mergeCell ref="G162:G164"/>
    <mergeCell ref="A171:A173"/>
    <mergeCell ref="B171:B173"/>
    <mergeCell ref="F171:F173"/>
    <mergeCell ref="G171:G173"/>
    <mergeCell ref="F109:F111"/>
    <mergeCell ref="G109:G111"/>
    <mergeCell ref="A335:A337"/>
    <mergeCell ref="B335:B337"/>
    <mergeCell ref="G118:G120"/>
    <mergeCell ref="F118:F120"/>
    <mergeCell ref="F130:F132"/>
    <mergeCell ref="G130:G132"/>
    <mergeCell ref="G139:G141"/>
    <mergeCell ref="F139:F141"/>
    <mergeCell ref="B139:B141"/>
    <mergeCell ref="A139:A141"/>
    <mergeCell ref="A130:A132"/>
    <mergeCell ref="B130:B132"/>
    <mergeCell ref="A153:A155"/>
    <mergeCell ref="B153:B155"/>
    <mergeCell ref="F46:F48"/>
    <mergeCell ref="G46:G48"/>
    <mergeCell ref="G55:G57"/>
    <mergeCell ref="F55:F57"/>
    <mergeCell ref="F67:F69"/>
    <mergeCell ref="G67:G69"/>
    <mergeCell ref="G76:G78"/>
    <mergeCell ref="F76:F78"/>
    <mergeCell ref="A109:A111"/>
    <mergeCell ref="B109:B111"/>
    <mergeCell ref="B118:B120"/>
    <mergeCell ref="A118:A120"/>
    <mergeCell ref="A76:A78"/>
    <mergeCell ref="B76:B78"/>
    <mergeCell ref="B88:B90"/>
    <mergeCell ref="A88:A90"/>
    <mergeCell ref="A97:A99"/>
    <mergeCell ref="B97:B99"/>
    <mergeCell ref="F88:F90"/>
    <mergeCell ref="G88:G90"/>
    <mergeCell ref="F97:F99"/>
    <mergeCell ref="G97:G99"/>
    <mergeCell ref="B46:B48"/>
    <mergeCell ref="A46:A48"/>
    <mergeCell ref="A55:A57"/>
    <mergeCell ref="B55:B57"/>
    <mergeCell ref="B67:B69"/>
    <mergeCell ref="A67:A69"/>
    <mergeCell ref="F14:F16"/>
    <mergeCell ref="G14:G16"/>
    <mergeCell ref="F23:F25"/>
    <mergeCell ref="G23:G25"/>
    <mergeCell ref="A37:A39"/>
    <mergeCell ref="B37:B39"/>
    <mergeCell ref="A5:A7"/>
    <mergeCell ref="B5:B7"/>
    <mergeCell ref="A14:A16"/>
    <mergeCell ref="B14:B16"/>
    <mergeCell ref="A23:A25"/>
    <mergeCell ref="B23:B25"/>
  </mergeCells>
  <pageMargins left="0.7" right="0.7" top="0.75" bottom="0.75" header="0.3" footer="0.3"/>
  <pageSetup paperSize="9" orientation="portrait" r:id="rId1"/>
  <headerFooter>
    <oddFooter>&amp;C_x000D_&amp;1#&amp;"Calibri"&amp;10&amp;K000000 DSV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D5"/>
  <sheetViews>
    <sheetView workbookViewId="0">
      <selection activeCell="D4" sqref="D4"/>
    </sheetView>
  </sheetViews>
  <sheetFormatPr defaultRowHeight="15" x14ac:dyDescent="0.25"/>
  <cols>
    <col min="1" max="1" width="11.5703125" bestFit="1" customWidth="1"/>
    <col min="2" max="2" width="14" bestFit="1" customWidth="1"/>
    <col min="3" max="3" width="8.140625" bestFit="1" customWidth="1"/>
    <col min="4" max="4" width="120.140625" customWidth="1"/>
  </cols>
  <sheetData>
    <row r="1" spans="1:4" x14ac:dyDescent="0.25">
      <c r="A1" s="75" t="s">
        <v>85</v>
      </c>
    </row>
    <row r="3" spans="1:4" x14ac:dyDescent="0.25">
      <c r="A3" s="23" t="s">
        <v>67</v>
      </c>
      <c r="B3" s="23" t="s">
        <v>68</v>
      </c>
      <c r="C3" s="23" t="s">
        <v>59</v>
      </c>
      <c r="D3" s="23" t="s">
        <v>60</v>
      </c>
    </row>
    <row r="4" spans="1:4" x14ac:dyDescent="0.25">
      <c r="A4" s="54">
        <v>1</v>
      </c>
      <c r="B4" s="24" t="s">
        <v>3</v>
      </c>
      <c r="C4" s="24" t="s">
        <v>113</v>
      </c>
      <c r="D4" s="26" t="str">
        <f>IF(AND(NOT(ISBLANK(PartnerType)),OR(NOT(ConfigureMailboxes=FALSE),ISBLANK(ConfigureMailboxes))),UserAccount,"")</f>
        <v/>
      </c>
    </row>
    <row r="5" spans="1:4" x14ac:dyDescent="0.25">
      <c r="A5" s="54">
        <v>2</v>
      </c>
      <c r="B5" s="24" t="s">
        <v>114</v>
      </c>
      <c r="C5" s="24" t="s">
        <v>115</v>
      </c>
      <c r="D5" s="26" t="str">
        <f>IF(AND(NOT(ISBLANK(PartnerType)),OR(NOT(ConfigureMailboxes=FALSE),ISBLANK(ConfigureMailboxes))),CONCATENATE(PartnerTypeRootMailbox,"/DSV_",UserAccount,"_mb"),"")</f>
        <v/>
      </c>
    </row>
  </sheetData>
  <pageMargins left="0.7" right="0.7" top="0.75" bottom="0.75" header="0.3" footer="0.3"/>
  <headerFooter>
    <oddFooter>&amp;C_x000D_&amp;1#&amp;"Calibri"&amp;10&amp;K000000 DSV internal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D21"/>
  <sheetViews>
    <sheetView workbookViewId="0">
      <selection activeCell="D5" sqref="D5"/>
    </sheetView>
  </sheetViews>
  <sheetFormatPr defaultRowHeight="15" x14ac:dyDescent="0.25"/>
  <cols>
    <col min="1" max="1" width="12.28515625" bestFit="1" customWidth="1"/>
    <col min="2" max="2" width="16" style="50" bestFit="1" customWidth="1"/>
    <col min="3" max="3" width="21.85546875" bestFit="1" customWidth="1"/>
    <col min="4" max="4" width="113.28515625" customWidth="1"/>
  </cols>
  <sheetData>
    <row r="1" spans="1:4" x14ac:dyDescent="0.25">
      <c r="A1" s="75" t="s">
        <v>86</v>
      </c>
    </row>
    <row r="2" spans="1:4" x14ac:dyDescent="0.25">
      <c r="A2" s="16"/>
    </row>
    <row r="4" spans="1:4" x14ac:dyDescent="0.25">
      <c r="A4" s="28" t="s">
        <v>67</v>
      </c>
      <c r="B4" s="72" t="s">
        <v>68</v>
      </c>
      <c r="C4" s="28" t="s">
        <v>59</v>
      </c>
      <c r="D4" s="28" t="s">
        <v>60</v>
      </c>
    </row>
    <row r="5" spans="1:4" x14ac:dyDescent="0.25">
      <c r="A5" s="182">
        <v>1</v>
      </c>
      <c r="B5" s="185" t="s">
        <v>116</v>
      </c>
      <c r="C5" s="29" t="s">
        <v>69</v>
      </c>
      <c r="D5" s="29" t="str">
        <f>IF(AND(NOT(ISBLANK(PartnerType)),OR(NOT(ConfigureMailboxes=FALSE),ISBLANK(ConfigureMailboxes)),OR(NOT(ConfigureRoutingRule=FALSE),ISBLANK(ConfigureRoutingRule))),"DSV_"&amp;UserAccount&amp;"_rr","")</f>
        <v/>
      </c>
    </row>
    <row r="6" spans="1:4" x14ac:dyDescent="0.25">
      <c r="A6" s="183"/>
      <c r="B6" s="186"/>
      <c r="C6" s="29" t="s">
        <v>117</v>
      </c>
      <c r="D6" s="29" t="str">
        <f>IF(AND(NOT(ISBLANK(PartnerType)),OR(NOT(ConfigureMailboxes=FALSE),ISBLANK(ConfigureMailboxes)),OR(NOT(ConfigureRoutingRule=FALSE),ISBLANK(ConfigureRoutingRule))),"Evaluate Automatically","")</f>
        <v/>
      </c>
    </row>
    <row r="7" spans="1:4" x14ac:dyDescent="0.25">
      <c r="A7" s="184"/>
      <c r="B7" s="187"/>
      <c r="C7" s="29" t="s">
        <v>118</v>
      </c>
      <c r="D7" s="29" t="str">
        <f>IF(AND(NOT(ISBLANK(PartnerType)),OR(NOT(ConfigureMailboxes=FALSE),ISBLANK(ConfigureMailboxes)),OR(NOT(ConfigureRoutingRule=FALSE),ISBLANK(ConfigureRoutingRule))),"Business Process","")</f>
        <v/>
      </c>
    </row>
    <row r="8" spans="1:4" x14ac:dyDescent="0.25">
      <c r="A8" s="182">
        <v>2</v>
      </c>
      <c r="B8" s="185" t="s">
        <v>119</v>
      </c>
      <c r="C8" s="29" t="s">
        <v>120</v>
      </c>
      <c r="D8" s="30" t="str">
        <f>IF(AND(NOT(ISBLANK(PartnerType)),OR(NOT(ConfigureMailboxes=FALSE),ISBLANK(ConfigureMailboxes)),OR(NOT(ConfigureRoutingRule=FALSE),ISBLANK(ConfigureRoutingRule))),IF(PartnerType="dsv",CONCATENATE(PartnerInboxParentMailbox,"/outbox"),CONCATENATE(PartnerInboxParentMailbox,"/inbox")),"")</f>
        <v/>
      </c>
    </row>
    <row r="9" spans="1:4" x14ac:dyDescent="0.25">
      <c r="A9" s="183"/>
      <c r="B9" s="187"/>
      <c r="C9" s="29" t="s">
        <v>121</v>
      </c>
      <c r="D9" s="29" t="str">
        <f>IF(AND(NOT(ISBLANK(PartnerType)),OR(NOT(ConfigureMailboxes=FALSE),ISBLANK(ConfigureMailboxes)),OR(NOT(ConfigureRoutingRule=FALSE),ISBLANK(ConfigureRoutingRule))),"*","")</f>
        <v/>
      </c>
    </row>
    <row r="10" spans="1:4" x14ac:dyDescent="0.25">
      <c r="A10" s="183"/>
      <c r="B10" s="55" t="s">
        <v>122</v>
      </c>
      <c r="C10" s="29" t="s">
        <v>124</v>
      </c>
      <c r="D10" s="29" t="str">
        <f>IF(AND(NOT(ISBLANK(PartnerType)),OR(NOT(ConfigureMailboxes=FALSE),ISBLANK(ConfigureMailboxes)),OR(NOT(ConfigureRoutingRule=FALSE),ISBLANK(ConfigureRoutingRule))),IF(Framework="LW","DSV_BP_COLLECT_AND_DELETE_MAILBOX_bp","DSV_MailboxExtract_bp"),"")</f>
        <v/>
      </c>
    </row>
    <row r="11" spans="1:4" x14ac:dyDescent="0.25">
      <c r="A11" s="184"/>
      <c r="B11" s="55" t="s">
        <v>123</v>
      </c>
      <c r="C11" s="29" t="s">
        <v>113</v>
      </c>
      <c r="D11" s="29" t="str">
        <f>IF(AND(NOT(ISBLANK(PartnerType)),OR(NOT(ConfigureMailboxes=FALSE),ISBLANK(ConfigureMailboxes)),OR(NOT(ConfigureRoutingRule=FALSE),ISBLANK(ConfigureRoutingRule))),"admin","")</f>
        <v/>
      </c>
    </row>
    <row r="15" spans="1:4" x14ac:dyDescent="0.25">
      <c r="A15" s="16"/>
    </row>
    <row r="17" spans="1:4" x14ac:dyDescent="0.25">
      <c r="A17" s="16"/>
      <c r="B17" s="74"/>
      <c r="C17" s="16"/>
      <c r="D17" s="16"/>
    </row>
    <row r="21" spans="1:4" x14ac:dyDescent="0.25">
      <c r="D21" s="25"/>
    </row>
  </sheetData>
  <mergeCells count="4">
    <mergeCell ref="A5:A7"/>
    <mergeCell ref="A8:A11"/>
    <mergeCell ref="B5:B7"/>
    <mergeCell ref="B8:B9"/>
  </mergeCells>
  <pageMargins left="0.7" right="0.7" top="0.75" bottom="0.75" header="0.3" footer="0.3"/>
  <headerFooter>
    <oddFooter>&amp;C_x000D_&amp;1#&amp;"Calibri"&amp;10&amp;K000000 DSV internal</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tabColor rgb="FFFFC000"/>
  </sheetPr>
  <dimension ref="A1:H161"/>
  <sheetViews>
    <sheetView zoomScaleNormal="100" workbookViewId="0">
      <pane ySplit="1" topLeftCell="A2" activePane="bottomLeft" state="frozenSplit"/>
      <selection pane="bottomLeft" activeCell="B5" sqref="B5"/>
    </sheetView>
  </sheetViews>
  <sheetFormatPr defaultRowHeight="15" x14ac:dyDescent="0.25"/>
  <cols>
    <col min="1" max="1" width="46.85546875" style="25" bestFit="1" customWidth="1"/>
    <col min="2" max="2" width="51.85546875" customWidth="1"/>
    <col min="3" max="3" width="26.140625" style="98" customWidth="1"/>
    <col min="4" max="4" width="58.5703125" style="32" customWidth="1"/>
    <col min="5" max="5" width="59.7109375" style="32" customWidth="1"/>
    <col min="6" max="6" width="11.28515625" customWidth="1"/>
    <col min="7" max="7" width="30.7109375" customWidth="1"/>
    <col min="8" max="8" width="47.7109375" style="25" bestFit="1" customWidth="1"/>
    <col min="9" max="9" width="18.42578125" bestFit="1" customWidth="1"/>
    <col min="10" max="10" width="44.85546875" bestFit="1" customWidth="1"/>
    <col min="11" max="11" width="53.140625" bestFit="1" customWidth="1"/>
  </cols>
  <sheetData>
    <row r="1" spans="1:8" s="16" customFormat="1" x14ac:dyDescent="0.25">
      <c r="A1" s="84" t="s">
        <v>449</v>
      </c>
      <c r="B1" s="114"/>
      <c r="C1" s="115"/>
      <c r="D1" s="116"/>
      <c r="E1" s="116"/>
      <c r="H1" s="69"/>
    </row>
    <row r="2" spans="1:8" x14ac:dyDescent="0.25">
      <c r="A2" s="113"/>
      <c r="B2" s="114"/>
      <c r="C2" s="115"/>
      <c r="D2" s="116"/>
      <c r="E2" s="116"/>
    </row>
    <row r="3" spans="1:8" x14ac:dyDescent="0.25">
      <c r="B3" s="25"/>
    </row>
    <row r="4" spans="1:8" ht="30" x14ac:dyDescent="0.25">
      <c r="B4" s="61" t="s">
        <v>436</v>
      </c>
      <c r="C4" s="104" t="s">
        <v>435</v>
      </c>
    </row>
    <row r="5" spans="1:8" x14ac:dyDescent="0.25">
      <c r="A5" s="35" t="s">
        <v>454</v>
      </c>
      <c r="B5" s="97"/>
      <c r="C5" s="105"/>
    </row>
    <row r="6" spans="1:8" x14ac:dyDescent="0.25">
      <c r="A6" s="35" t="s">
        <v>455</v>
      </c>
      <c r="B6" s="97"/>
      <c r="C6" s="105"/>
    </row>
    <row r="7" spans="1:8" x14ac:dyDescent="0.25">
      <c r="A7" s="35" t="s">
        <v>456</v>
      </c>
      <c r="B7" s="83"/>
      <c r="C7" s="100"/>
    </row>
    <row r="8" spans="1:8" x14ac:dyDescent="0.25">
      <c r="A8" s="35" t="s">
        <v>457</v>
      </c>
      <c r="B8" s="83"/>
      <c r="C8" s="100"/>
    </row>
    <row r="13" spans="1:8" s="81" customFormat="1" x14ac:dyDescent="0.25">
      <c r="A13" s="82" t="s">
        <v>450</v>
      </c>
      <c r="C13" s="101"/>
      <c r="D13" s="89"/>
      <c r="E13" s="89"/>
      <c r="H13" s="82"/>
    </row>
    <row r="15" spans="1:8" x14ac:dyDescent="0.25">
      <c r="A15" s="69"/>
      <c r="B15" s="25"/>
      <c r="H15"/>
    </row>
    <row r="16" spans="1:8" x14ac:dyDescent="0.25">
      <c r="A16" s="26" t="s">
        <v>390</v>
      </c>
      <c r="B16" s="86"/>
      <c r="H16"/>
    </row>
    <row r="17" spans="1:8" x14ac:dyDescent="0.25">
      <c r="H17"/>
    </row>
    <row r="18" spans="1:8" x14ac:dyDescent="0.25">
      <c r="H18"/>
    </row>
    <row r="19" spans="1:8" x14ac:dyDescent="0.25">
      <c r="H19"/>
    </row>
    <row r="20" spans="1:8" ht="30" x14ac:dyDescent="0.25">
      <c r="A20" s="79" t="s">
        <v>433</v>
      </c>
      <c r="H20"/>
    </row>
    <row r="21" spans="1:8" x14ac:dyDescent="0.25">
      <c r="A21" s="35" t="s">
        <v>67</v>
      </c>
      <c r="B21" s="23" t="s">
        <v>68</v>
      </c>
      <c r="C21" s="99" t="s">
        <v>59</v>
      </c>
      <c r="D21" s="33" t="s">
        <v>438</v>
      </c>
      <c r="E21" s="33" t="s">
        <v>437</v>
      </c>
      <c r="H21"/>
    </row>
    <row r="22" spans="1:8" x14ac:dyDescent="0.25">
      <c r="A22" s="85">
        <v>1</v>
      </c>
      <c r="B22" s="54" t="s">
        <v>385</v>
      </c>
      <c r="C22" s="30" t="s">
        <v>386</v>
      </c>
      <c r="D22" s="30" t="str">
        <f>IF(AND(NOT(ISBLANK(ClientFTPLoginName)),NOT(ISBLANK(ClientFTPDNSOrIP)),NOT(ISBLANK(ClientFTPPort))),"General Document","")</f>
        <v/>
      </c>
      <c r="H22"/>
    </row>
    <row r="23" spans="1:8" x14ac:dyDescent="0.25">
      <c r="A23" s="190">
        <v>2</v>
      </c>
      <c r="B23" s="182" t="s">
        <v>102</v>
      </c>
      <c r="C23" s="30" t="s">
        <v>69</v>
      </c>
      <c r="D23" s="30" t="str">
        <f>IF(AND(NOT(ISBLANK(ClientFTPLoginName)),NOT(ISBLANK(ClientFTPDNSOrIP)),NOT(ISBLANK(ClientFTPPort))),_xlfn.CONCAT("DSV_",IF(IFERROR(FIND("@",ClientFTPLoginName),0)&gt;0,REPLACE(ClientFTPLoginName,FIND("@",ClientFTPLoginName),1,"_at_"),ClientFTPLoginName),"_",ClientFTPDNSOrIP,"_",ClientFTPPort,"_",IF(NOT(ISBLANK(ClientFTPMessageType1)),_xlfn.CONCAT(ClientFTPMessageType1,"_"),""),"ftp"),"")</f>
        <v/>
      </c>
      <c r="E23" s="30" t="str">
        <f>IF(AND(NOT(ISBLANK(ClientFTPLoginNameTest)),NOT(ISBLANK(ClientFTPDNSOrIPTest)),NOT(ISBLANK(ClientFTPPortTest))),_xlfn.CONCAT("DSV_",IF(IFERROR(FIND("@",ClientFTPLoginNameTest),0)&gt;0,REPLACE(ClientFTPLoginNameTest,FIND("@",ClientFTPLoginNameTest),1,"_at_"),ClientFTPLoginNameTest),"_",ClientFTPDNSOrIPTest,"_",ClientFTPPortTest,"_",IF(NOT(ISBLANK(ClientFTPMessageType1)),_xlfn.CONCAT(ClientFTPMessageType1,"_"),""),"ftp"),"")</f>
        <v/>
      </c>
      <c r="H23"/>
    </row>
    <row r="24" spans="1:8" x14ac:dyDescent="0.25">
      <c r="A24" s="191"/>
      <c r="B24" s="183"/>
      <c r="C24" s="30" t="s">
        <v>70</v>
      </c>
      <c r="D24" s="30" t="str">
        <f>IF(AND(NOT(ISBLANK(ClientFTPLoginName)),NOT(ISBLANK(ClientFTPDNSOrIP)),NOT(ISBLANK(ClientFTPPort))),ClientFTPProfileName1,"")</f>
        <v/>
      </c>
      <c r="E24" s="30" t="str">
        <f>IF(AND(NOT(ISBLANK(ClientFTPLoginNameTest)),NOT(ISBLANK(ClientFTPDNSOrIPTest)),NOT(ISBLANK(ClientFTPPortTest))),ClientFTPProfileName1Test,"")</f>
        <v/>
      </c>
      <c r="H24"/>
    </row>
    <row r="25" spans="1:8" x14ac:dyDescent="0.25">
      <c r="A25" s="191"/>
      <c r="B25" s="183"/>
      <c r="C25" s="30" t="s">
        <v>71</v>
      </c>
      <c r="D25" s="30" t="str">
        <f>IF(AND(NOT(ISBLANK(ClientFTPLoginName)),NOT(ISBLANK(ClientFTPDNSOrIP)),NOT(ISBLANK(ClientFTPPort))),"FTP Server Profile for LW FW","")</f>
        <v/>
      </c>
      <c r="H25"/>
    </row>
    <row r="26" spans="1:8" x14ac:dyDescent="0.25">
      <c r="A26" s="191"/>
      <c r="B26" s="183"/>
      <c r="C26" s="30" t="s">
        <v>72</v>
      </c>
      <c r="D26" s="34" t="str">
        <f>IF(AND(NOT(ISBLANK(ClientFTPLoginName)),NOT(ISBLANK(ClientFTPDNSOrIP)),NOT(ISBLANK(ClientFTPPort))),"&lt;Leave Empty&gt;","")</f>
        <v/>
      </c>
      <c r="H26"/>
    </row>
    <row r="27" spans="1:8" x14ac:dyDescent="0.25">
      <c r="A27" s="191"/>
      <c r="B27" s="183"/>
      <c r="C27" s="30" t="s">
        <v>73</v>
      </c>
      <c r="D27" s="30" t="str">
        <f>IF(AND(NOT(ISBLANK(ClientFTPLoginName)),NOT(ISBLANK(ClientFTPDNSOrIP)),NOT(ISBLANK(ClientFTPPort))),"N/A","")</f>
        <v/>
      </c>
      <c r="H27"/>
    </row>
    <row r="28" spans="1:8" x14ac:dyDescent="0.25">
      <c r="A28" s="191"/>
      <c r="B28" s="183"/>
      <c r="C28" s="30" t="s">
        <v>74</v>
      </c>
      <c r="D28" s="34" t="str">
        <f>IF(AND(NOT(ISBLANK(ClientFTPLoginName)),NOT(ISBLANK(ClientFTPDNSOrIP)),NOT(ISBLANK(ClientFTPPort))),"&lt;Leave Empty&gt;","")</f>
        <v/>
      </c>
      <c r="H28"/>
    </row>
    <row r="29" spans="1:8" x14ac:dyDescent="0.25">
      <c r="A29" s="191"/>
      <c r="B29" s="183"/>
      <c r="C29" s="30" t="s">
        <v>387</v>
      </c>
      <c r="D29" s="30" t="str">
        <f>IF(AND(NOT(ISBLANK(ClientFTPLoginName)),NOT(ISBLANK(ClientFTPDNSOrIP)),NOT(ISBLANK(ClientFTPPort))),"N/A","")</f>
        <v/>
      </c>
      <c r="H29"/>
    </row>
    <row r="30" spans="1:8" x14ac:dyDescent="0.25">
      <c r="A30" s="191"/>
      <c r="B30" s="183"/>
      <c r="C30" s="30" t="s">
        <v>388</v>
      </c>
      <c r="D30" s="34" t="str">
        <f>IF(AND(NOT(ISBLANK(ClientFTPLoginName)),NOT(ISBLANK(ClientFTPDNSOrIP)),NOT(ISBLANK(ClientFTPPort))),"&lt;Leave Empty&gt;","")</f>
        <v/>
      </c>
      <c r="H30"/>
    </row>
    <row r="31" spans="1:8" x14ac:dyDescent="0.25">
      <c r="A31" s="191"/>
      <c r="B31" s="183"/>
      <c r="C31" s="30" t="s">
        <v>75</v>
      </c>
      <c r="D31" s="34" t="str">
        <f>IF(AND(NOT(ISBLANK(ClientFTPLoginName)),NOT(ISBLANK(ClientFTPDNSOrIP)),NOT(ISBLANK(ClientFTPPort))),"&lt;Leave Empty&gt;","")</f>
        <v/>
      </c>
      <c r="H31"/>
    </row>
    <row r="32" spans="1:8" x14ac:dyDescent="0.25">
      <c r="A32" s="191"/>
      <c r="B32" s="183"/>
      <c r="C32" s="30" t="s">
        <v>76</v>
      </c>
      <c r="D32" s="34" t="str">
        <f>IF(AND(NOT(ISBLANK(ClientFTPLoginName)),NOT(ISBLANK(ClientFTPDNSOrIP)),NOT(ISBLANK(ClientFTPPort))),"&lt;Does not matter; leave the default value&gt;","")</f>
        <v/>
      </c>
      <c r="H32"/>
    </row>
    <row r="33" spans="1:8" x14ac:dyDescent="0.25">
      <c r="A33" s="192"/>
      <c r="B33" s="184"/>
      <c r="C33" s="30" t="s">
        <v>389</v>
      </c>
      <c r="D33" s="34" t="str">
        <f>IF(AND(NOT(ISBLANK(ClientFTPLoginName)),NOT(ISBLANK(ClientFTPDNSOrIP)),NOT(ISBLANK(ClientFTPPort))),"&lt;Does not matter; leave the default value&gt;","")</f>
        <v/>
      </c>
      <c r="H33"/>
    </row>
    <row r="34" spans="1:8" x14ac:dyDescent="0.25">
      <c r="A34" s="85">
        <v>3</v>
      </c>
      <c r="B34" s="54" t="s">
        <v>391</v>
      </c>
      <c r="C34" s="30" t="s">
        <v>391</v>
      </c>
      <c r="D34" s="30" t="str">
        <f>IF(AND(NOT(ISBLANK(ClientFTPLoginName)),NOT(ISBLANK(ClientFTPDNSOrIP)),NOT(ISBLANK(ClientFTPPort))),"FTP","")</f>
        <v/>
      </c>
      <c r="H34"/>
    </row>
    <row r="35" spans="1:8" x14ac:dyDescent="0.25">
      <c r="A35" s="190">
        <v>4</v>
      </c>
      <c r="B35" s="182" t="s">
        <v>396</v>
      </c>
      <c r="C35" s="30" t="s">
        <v>392</v>
      </c>
      <c r="D35" s="30" t="str">
        <f>IF(AND(NOT(ISBLANK(ClientFTPLoginName)),NOT(ISBLANK(ClientFTPDNSOrIP)),NOT(ISBLANK(ClientFTPPort))),ClientFTPDNSOrIP,"")</f>
        <v/>
      </c>
      <c r="E35" s="30" t="str">
        <f>IF(AND(NOT(ISBLANK(ClientFTPLoginNameTest)),NOT(ISBLANK(ClientFTPDNSOrIPTest)),NOT(ISBLANK(ClientFTPPortTest))),ClientFTPDNSOrIPTest,"")</f>
        <v/>
      </c>
      <c r="H35"/>
    </row>
    <row r="36" spans="1:8" x14ac:dyDescent="0.25">
      <c r="A36" s="191"/>
      <c r="B36" s="183"/>
      <c r="C36" s="30" t="s">
        <v>393</v>
      </c>
      <c r="D36" s="30" t="str">
        <f>IF(AND(NOT(ISBLANK(ClientFTPLoginName)),NOT(ISBLANK(ClientFTPDNSOrIP)),NOT(ISBLANK(ClientFTPPort))),ClientFTPPort,"")</f>
        <v/>
      </c>
      <c r="E36" s="30" t="str">
        <f>IF(AND(NOT(ISBLANK(ClientFTPLoginNameTest)),NOT(ISBLANK(ClientFTPDNSOrIPTest)),NOT(ISBLANK(ClientFTPPortTest))),ClientFTPPortTest,"")</f>
        <v/>
      </c>
      <c r="H36"/>
    </row>
    <row r="37" spans="1:8" x14ac:dyDescent="0.25">
      <c r="A37" s="191"/>
      <c r="B37" s="183"/>
      <c r="C37" s="30" t="s">
        <v>394</v>
      </c>
      <c r="D37" s="34" t="str">
        <f>IF(AND(NOT(ISBLANK(ClientFTPLoginName)),NOT(ISBLANK(ClientFTPDNSOrIP)),NOT(ISBLANK(ClientFTPPort))),"&lt;Leave Empty&gt;","")</f>
        <v/>
      </c>
      <c r="E37" s="25"/>
      <c r="H37"/>
    </row>
    <row r="38" spans="1:8" x14ac:dyDescent="0.25">
      <c r="A38" s="191"/>
      <c r="B38" s="183"/>
      <c r="C38" s="30" t="s">
        <v>207</v>
      </c>
      <c r="D38" s="30" t="str">
        <f>IF(AND(NOT(ISBLANK(ClientFTPLoginName)),NOT(ISBLANK(ClientFTPDNSOrIP)),NOT(ISBLANK(ClientFTPPort))),60,"")</f>
        <v/>
      </c>
      <c r="H38"/>
    </row>
    <row r="39" spans="1:8" x14ac:dyDescent="0.25">
      <c r="A39" s="191"/>
      <c r="B39" s="183"/>
      <c r="C39" s="30" t="s">
        <v>395</v>
      </c>
      <c r="D39" s="30" t="str">
        <f>IF(AND(NOT(ISBLANK(ClientFTPLoginName)),NOT(ISBLANK(ClientFTPDNSOrIP)),NOT(ISBLANK(ClientFTPPort))),"PUT","")</f>
        <v/>
      </c>
      <c r="H39"/>
    </row>
    <row r="40" spans="1:8" x14ac:dyDescent="0.25">
      <c r="A40" s="191"/>
      <c r="B40" s="183"/>
      <c r="C40" s="30" t="s">
        <v>3</v>
      </c>
      <c r="D40" s="30" t="str">
        <f>IF(AND(NOT(ISBLANK(ClientFTPLoginName)),NOT(ISBLANK(ClientFTPDNSOrIP)),NOT(ISBLANK(ClientFTPPort))),ClientFTPLoginName,"")</f>
        <v/>
      </c>
      <c r="E40" s="30" t="str">
        <f>IF(AND(NOT(ISBLANK(ClientFTPLoginNameTest)),NOT(ISBLANK(ClientFTPDNSOrIPTest)),NOT(ISBLANK(ClientFTPPortTest))),ClientFTPLoginNameTest,"")</f>
        <v/>
      </c>
      <c r="H40"/>
    </row>
    <row r="41" spans="1:8" x14ac:dyDescent="0.25">
      <c r="A41" s="192"/>
      <c r="B41" s="184"/>
      <c r="C41" s="30" t="s">
        <v>1</v>
      </c>
      <c r="D41" s="30" t="str">
        <f>IF(AND(NOT(ISBLANK(ClientFTPLoginName)),NOT(ISBLANK(ClientFTPDNSOrIP)),NOT(ISBLANK(ClientFTPPort))),ClientFTPPassword,"")</f>
        <v/>
      </c>
      <c r="E41" s="90" t="str">
        <f>IF(AND(NOT(ISBLANK(ClientFTPLoginNameTest)),NOT(ISBLANK(ClientFTPDNSOrIPTest)),NOT(ISBLANK(ClientFTPPortTest))),ClientFTPPasswordTest,"")</f>
        <v/>
      </c>
      <c r="H41"/>
    </row>
    <row r="42" spans="1:8" x14ac:dyDescent="0.25">
      <c r="H42"/>
    </row>
    <row r="44" spans="1:8" ht="30" x14ac:dyDescent="0.25">
      <c r="A44" s="87" t="s">
        <v>434</v>
      </c>
    </row>
    <row r="45" spans="1:8" x14ac:dyDescent="0.25">
      <c r="A45" s="35" t="s">
        <v>439</v>
      </c>
      <c r="B45" s="35" t="s">
        <v>440</v>
      </c>
    </row>
    <row r="46" spans="1:8" x14ac:dyDescent="0.25">
      <c r="A46" s="26" t="str">
        <f>IF(AND(NOT(ISBLANK(ClientFTPLoginName)),NOT(ISBLANK(ClientFTPDNSOrIP)),NOT(ISBLANK(ClientFTPPort))),_xlfn.CONCAT("DSV_",RIGHT(_xlfn.CONCAT(IF(IFERROR(FIND("@",ClientFTPLoginName),0)&gt;0,REPLACE(ClientFTPLoginName,FIND("@",ClientFTPLoginName),1,"_at_"),ClientFTPLoginName),"_",ClientFTPDNSOrIP),64-(4+LEN(_xlfn.CONCAT("_",ClientFTPPort,"_",IF(NOT(ISBLANK(ClientFTPMessageType1)),_xlfn.CONCAT(ClientFTPMessageType1,"_"),""),"pf")))),"_",ClientFTPPort,"_",IF(NOT(ISBLANK(ClientFTPMessageType1)),_xlfn.CONCAT(ClientFTPMessageType1,"_"),""),"pf"),"")</f>
        <v/>
      </c>
      <c r="B46" s="26" t="str">
        <f>IF(AND(NOT(ISBLANK(ClientFTPLoginNameTest)),NOT(ISBLANK(ClientFTPDNSOrIPTest)),NOT(ISBLANK(ClientFTPPortTest))),_xlfn.CONCAT("DSV_",RIGHT(_xlfn.CONCAT(IF(IFERROR(FIND("@",ClientFTPLoginNameTest),0)&gt;0,REPLACE(ClientFTPLoginNameTest,FIND("@",ClientFTPLoginNameTest),1,"_at_"),ClientFTPLoginNameTest),"_",ClientFTPDNSOrIPTest),64-(4+LEN(_xlfn.CONCAT("_",ClientFTPPortTest,"_",IF(NOT(ISBLANK(ClientFTPMessageType1)),_xlfn.CONCAT(ClientFTPMessageType1,"_"),""),"pf")))),"_",ClientFTPPortTest,"_",IF(NOT(ISBLANK(ClientFTPMessageType1)),_xlfn.CONCAT(ClientFTPMessageType1,"_"),""),"pf"),"")</f>
        <v/>
      </c>
    </row>
    <row r="50" spans="1:5" x14ac:dyDescent="0.25">
      <c r="A50" s="84" t="s">
        <v>397</v>
      </c>
    </row>
    <row r="52" spans="1:5" x14ac:dyDescent="0.25">
      <c r="A52" s="26" t="s">
        <v>417</v>
      </c>
      <c r="B52" s="83">
        <v>1</v>
      </c>
    </row>
    <row r="54" spans="1:5" x14ac:dyDescent="0.25">
      <c r="A54" s="35" t="s">
        <v>67</v>
      </c>
      <c r="B54" s="23" t="s">
        <v>68</v>
      </c>
      <c r="C54" s="99" t="s">
        <v>59</v>
      </c>
      <c r="D54" s="33" t="s">
        <v>438</v>
      </c>
      <c r="E54" s="33" t="s">
        <v>437</v>
      </c>
    </row>
    <row r="55" spans="1:5" x14ac:dyDescent="0.25">
      <c r="A55" s="188">
        <v>1</v>
      </c>
      <c r="B55" s="24" t="s">
        <v>398</v>
      </c>
      <c r="C55" s="102" t="s">
        <v>69</v>
      </c>
      <c r="D55" s="30" t="str">
        <f>IF(AND(NOT(ISBLANK(ClientFTPLoginName)),NOT(ISBLANK(ClientFTPDNSOrIP)),NOT(ISBLANK(ClientFTPPort))),_xlfn.CONCAT("DSV_BP_FTPGET_",IF(IFERROR(FIND("@",ClientFTPLoginName),0)&gt;0,REPLACE(ClientFTPLoginName,FIND("@",ClientFTPLoginName),1,"_at_"),ClientFTPLoginName),"_",ClientFTPDNSOrIP,"_",ClientFTPPort,"_bp"),"")</f>
        <v/>
      </c>
      <c r="E55" s="30" t="str">
        <f>IF(AND(NOT(ISBLANK(ClientFTPLoginNameTest)),NOT(ISBLANK(ClientFTPDNSOrIPTest)),NOT(ISBLANK(ClientFTPPortTest))),_xlfn.CONCAT("DSV_BP_FTPGET_",IF(IFERROR(FIND("@",ClientFTPLoginNameTest),0)&gt;0,REPLACE(ClientFTPLoginNameTest,FIND("@",ClientFTPLoginNameTest),1,"_at_"),ClientFTPLoginNameTest),"_",ClientFTPDNSOrIPTest,"_",ClientFTPPortTest,"_bp"),"")</f>
        <v/>
      </c>
    </row>
    <row r="56" spans="1:5" ht="30" x14ac:dyDescent="0.25">
      <c r="A56" s="189"/>
      <c r="B56" s="24"/>
      <c r="C56" s="102" t="s">
        <v>399</v>
      </c>
      <c r="D56" s="30" t="str">
        <f>IF(AND(NOT(ISBLANK(ClientFTPLoginName)),NOT(ISBLANK(ClientFTPDNSOrIP)),NOT(ISBLANK(ClientFTPPort))),"Business Process Text Editor","")</f>
        <v/>
      </c>
    </row>
    <row r="57" spans="1:5" x14ac:dyDescent="0.25">
      <c r="A57" s="188">
        <v>2</v>
      </c>
      <c r="B57" s="24" t="s">
        <v>400</v>
      </c>
      <c r="C57" s="102" t="s">
        <v>81</v>
      </c>
      <c r="D57" s="30" t="str">
        <f>IF(AND(NOT(ISBLANK(ClientFTPLoginName)),NOT(ISBLANK(ClientFTPDNSOrIP)),NOT(ISBLANK(ClientFTPPort))),_xlfn.CONCAT("v",ClientFTPBPVersion1," - ",RITMNumber," - FTP to ",IF(IFERROR(FIND("@",ClientFTPLoginName),0)&gt;0,REPLACE(ClientFTPLoginName,FIND("@",ClientFTPLoginName),1,"_at_"),ClientFTPLoginName),"@",ClientFTPDNSOrIP,"_",ClientFTPPort),"")</f>
        <v/>
      </c>
      <c r="E57" s="30" t="str">
        <f>IF(AND(NOT(ISBLANK(ClientFTPLoginNameTest)),NOT(ISBLANK(ClientFTPDNSOrIPTest)),NOT(ISBLANK(ClientFTPPortTest))),_xlfn.CONCAT("v",ClientFTPBPVersion1," - ",RITMNumber," - FTP to ",IF(IFERROR(FIND("@",ClientFTPLoginNameTest),0)&gt;0,REPLACE(ClientFTPLoginNameTest,FIND("@",ClientFTPLoginNameTest),1,"_at_"),ClientFTPLoginNameTest),"@",ClientFTPDNSOrIPTest,"_",ClientFTPPortTest),"")</f>
        <v/>
      </c>
    </row>
    <row r="58" spans="1:5" ht="107.25" customHeight="1" x14ac:dyDescent="0.25">
      <c r="A58" s="189"/>
      <c r="B58" s="24"/>
      <c r="C58" s="102" t="s">
        <v>124</v>
      </c>
      <c r="D58" s="30" t="str">
        <f>IF(AND(NOT(ISBLANK(ClientFTPLoginName)),NOT(ISBLANK(ClientFTPDNSOrIP)),NOT(ISBLANK(ClientFTPPort))),CONCATENATE("&lt;?xml version="&amp;CHAR(34)&amp;"1.0"&amp;CHAR(34)&amp;" encoding="&amp;CHAR(34)&amp;"UTF-8"&amp;CHAR(34)&amp;"?&gt;",CHAR(10),"&lt;process name="&amp;CHAR(34),ClientFTPBPName1,CHAR(34),"&gt;",CHAR(10),CHAR(9),"&lt;sequence name="&amp;CHAR(34)&amp;"Main"&amp;CHAR(34)&amp;"&gt;",CHAR(10),CHAR(9),CHAR(9),"&lt;operation name=",CHAR(34),"Invoke 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c r="E58" s="30" t="str">
        <f>IF(AND(NOT(ISBLANK(ClientFTPLoginNameTest)),NOT(ISBLANK(ClientFTPDNSOrIPTest)),NOT(ISBLANK(ClientFTPPortTest))),CONCATENATE("&lt;?xml version="&amp;CHAR(34)&amp;"1.0"&amp;CHAR(34)&amp;" encoding="&amp;CHAR(34)&amp;"UTF-8"&amp;CHAR(34)&amp;"?&gt;",CHAR(10),"&lt;process name="&amp;CHAR(34),ClientFTPBPName1Test,CHAR(34),"&gt;",CHAR(10),CHAR(9),"&lt;sequence name="&amp;CHAR(34)&amp;"Main"&amp;CHAR(34)&amp;"&gt;",CHAR(10),CHAR(9),CHAR(9),"&lt;operation name=",CHAR(34),"Invoke 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row>
    <row r="59" spans="1:5" x14ac:dyDescent="0.25">
      <c r="A59" s="26">
        <v>3</v>
      </c>
      <c r="B59" s="24" t="s">
        <v>401</v>
      </c>
      <c r="C59" s="102" t="s">
        <v>402</v>
      </c>
      <c r="D59" s="30" t="str">
        <f>IF(AND(NOT(ISBLANK(ClientFTPLoginName)),NOT(ISBLANK(ClientFTPDNSOrIP)),NOT(ISBLANK(ClientFTPPort))),"&lt;Leave As Is&gt;","")</f>
        <v/>
      </c>
    </row>
    <row r="63" spans="1:5" x14ac:dyDescent="0.25">
      <c r="A63" s="79" t="s">
        <v>458</v>
      </c>
    </row>
    <row r="64" spans="1:5" x14ac:dyDescent="0.25">
      <c r="A64" s="35" t="s">
        <v>67</v>
      </c>
      <c r="B64" s="23" t="s">
        <v>68</v>
      </c>
      <c r="C64" s="99" t="s">
        <v>59</v>
      </c>
      <c r="D64" s="33" t="s">
        <v>438</v>
      </c>
      <c r="E64" s="33" t="s">
        <v>437</v>
      </c>
    </row>
    <row r="65" spans="1:5" x14ac:dyDescent="0.25">
      <c r="A65" s="190">
        <v>1</v>
      </c>
      <c r="B65" s="182" t="s">
        <v>403</v>
      </c>
      <c r="C65" s="102" t="s">
        <v>404</v>
      </c>
      <c r="D65" s="30" t="str">
        <f>ClientFTPBPName1</f>
        <v/>
      </c>
      <c r="E65" s="30" t="str">
        <f>ClientFTPBPName1Test</f>
        <v/>
      </c>
    </row>
    <row r="66" spans="1:5" x14ac:dyDescent="0.25">
      <c r="A66" s="191"/>
      <c r="B66" s="184"/>
      <c r="C66" s="102" t="s">
        <v>384</v>
      </c>
      <c r="D66" s="30" t="str">
        <f>ClientFTPNewProfileName1</f>
        <v/>
      </c>
      <c r="E66" s="30" t="str">
        <f>ClientFTPNewProfileName1Test</f>
        <v/>
      </c>
    </row>
    <row r="67" spans="1:5" x14ac:dyDescent="0.25">
      <c r="A67" s="191"/>
      <c r="B67" s="182" t="s">
        <v>405</v>
      </c>
      <c r="C67" s="102" t="s">
        <v>406</v>
      </c>
      <c r="D67" s="34" t="str">
        <f>IF(AND(NOT(ISBLANK(ClientFTPLoginName)),NOT(ISBLANK(ClientFTPDNSOrIP)),NOT(ISBLANK(ClientFTPPort))),"&lt;Leave Empty&gt;","")</f>
        <v/>
      </c>
    </row>
    <row r="68" spans="1:5" ht="30" customHeight="1" x14ac:dyDescent="0.25">
      <c r="A68" s="191"/>
      <c r="B68" s="183"/>
      <c r="C68" s="102" t="s">
        <v>407</v>
      </c>
      <c r="D68" s="30" t="str">
        <f>IF(AND(NOT(ISBLANK(ClientFTPLoginName)),NOT(ISBLANK(ClientFTPDNSOrIP)),NOT(ISBLANK(ClientFTPPort))),"&lt;Full path to download folder&gt; (Comma separated list in case of multiple folders)","")</f>
        <v/>
      </c>
      <c r="E68" s="30" t="str">
        <f>IF(AND(NOT(ISBLANK(ClientFTPLoginNameTest)),NOT(ISBLANK(ClientFTPDNSOrIPTest)),NOT(ISBLANK(ClientFTPPortTest))),"&lt;Full path to download folder&gt; (Comma separated list in case of multiple folders)","")</f>
        <v/>
      </c>
    </row>
    <row r="69" spans="1:5" ht="30.75" customHeight="1" x14ac:dyDescent="0.25">
      <c r="A69" s="191"/>
      <c r="B69" s="183"/>
      <c r="C69" s="102" t="s">
        <v>408</v>
      </c>
      <c r="D69" s="30" t="str">
        <f>IF(AND(NOT(ISBLANK(ClientFTPLoginName)),NOT(ISBLANK(ClientFTPDNSOrIP)),NOT(ISBLANK(ClientFTPPort))),"&lt;Filename masks of files to download&gt; (Comma separated list in case of multiple filename masks)","")</f>
        <v/>
      </c>
      <c r="E69" s="30" t="str">
        <f>IF(AND(NOT(ISBLANK(ClientFTPLoginNameTest)),NOT(ISBLANK(ClientFTPDNSOrIPTest)),NOT(ISBLANK(ClientFTPPortTest))),"&lt;Filename masks of files to download&gt; (Comma separated list in case of multiple filename masks)","")</f>
        <v/>
      </c>
    </row>
    <row r="70" spans="1:5" x14ac:dyDescent="0.25">
      <c r="A70" s="191"/>
      <c r="B70" s="183"/>
      <c r="C70" s="102" t="s">
        <v>409</v>
      </c>
      <c r="D70" s="30" t="str">
        <f>IF(AND(NOT(ISBLANK(ClientFTPLoginName)),NOT(ISBLANK(ClientFTPDNSOrIP)),NOT(ISBLANK(ClientFTPPort))),CONCATENATE("Y (If file should be deleted after download)",CHAR(10),"N (If file should not be deleted after download)"),"")</f>
        <v/>
      </c>
    </row>
    <row r="71" spans="1:5" ht="30" customHeight="1" x14ac:dyDescent="0.25">
      <c r="A71" s="191"/>
      <c r="B71" s="183"/>
      <c r="C71" s="102" t="s">
        <v>410</v>
      </c>
      <c r="D71" s="30" t="str">
        <f>IF(AND(NOT(ISBLANK(ClientFTPLoginName)),NOT(ISBLANK(ClientFTPDNSOrIP)),NOT(ISBLANK(ClientFTPPort))),"&lt;Full path to history folder on FTP Server to move file to after download&gt; (Leave empty if no history folder)","")</f>
        <v/>
      </c>
      <c r="E71" s="30" t="str">
        <f>IF(AND(NOT(ISBLANK(ClientFTPLoginNameTest)),NOT(ISBLANK(ClientFTPDNSOrIPTest)),NOT(ISBLANK(ClientFTPPortTest))),"&lt;Full path to history folder on FTP Server to move file to after download&gt; (Leave empty if no history folder)","")</f>
        <v/>
      </c>
    </row>
    <row r="72" spans="1:5" x14ac:dyDescent="0.25">
      <c r="A72" s="191"/>
      <c r="B72" s="183"/>
      <c r="C72" s="102" t="s">
        <v>411</v>
      </c>
      <c r="D72" s="34" t="str">
        <f>IF(AND(NOT(ISBLANK(ClientFTPLoginName)),NOT(ISBLANK(ClientFTPDNSOrIP)),NOT(ISBLANK(ClientFTPPort))),CONCATENATE("&lt;Leave Empty&gt; (Preferred)",CHAR(10),"ASCII (If required by partner)"),"")</f>
        <v/>
      </c>
    </row>
    <row r="73" spans="1:5" x14ac:dyDescent="0.25">
      <c r="A73" s="192"/>
      <c r="B73" s="184"/>
      <c r="C73" s="102" t="s">
        <v>412</v>
      </c>
      <c r="D73" s="30" t="str">
        <f>IF(AND(NOT(ISBLANK(ClientFTPLoginName)),NOT(ISBLANK(ClientFTPDNSOrIP)),NOT(ISBLANK(ClientFTPPort))),IF(UPPER(PartnerType)="DSV","DSV_SA_FTP_CNXLOCAL_GROUP_cf","DSV_SA_FTP_CNXPX_GROUP_cf"),"")</f>
        <v/>
      </c>
    </row>
    <row r="77" spans="1:5" x14ac:dyDescent="0.25">
      <c r="A77" s="84" t="s">
        <v>413</v>
      </c>
    </row>
    <row r="78" spans="1:5" x14ac:dyDescent="0.25">
      <c r="A78" s="35" t="s">
        <v>67</v>
      </c>
      <c r="B78" s="23" t="s">
        <v>68</v>
      </c>
      <c r="C78" s="99" t="s">
        <v>59</v>
      </c>
      <c r="D78" s="33" t="s">
        <v>438</v>
      </c>
      <c r="E78" s="33" t="s">
        <v>437</v>
      </c>
    </row>
    <row r="79" spans="1:5" x14ac:dyDescent="0.25">
      <c r="A79" s="190">
        <v>1</v>
      </c>
      <c r="B79" s="182" t="s">
        <v>286</v>
      </c>
      <c r="C79" s="102" t="s">
        <v>276</v>
      </c>
      <c r="D79" s="30" t="str">
        <f>IF(AND(NOT(ISBLANK(ClientFTPLoginName)),NOT(ISBLANK(ClientFTPDNSOrIP)),NOT(ISBLANK(ClientFTPPort))),"admin","")</f>
        <v/>
      </c>
    </row>
    <row r="80" spans="1:5" x14ac:dyDescent="0.25">
      <c r="A80" s="191"/>
      <c r="B80" s="183"/>
      <c r="C80" s="103" t="s">
        <v>277</v>
      </c>
      <c r="D80" s="34" t="str">
        <f>IF(AND(NOT(ISBLANK(ClientFTPLoginName)),NOT(ISBLANK(ClientFTPDNSOrIP)),NOT(ISBLANK(ClientFTPPort))),"&lt;Unchecked&gt;","")</f>
        <v/>
      </c>
    </row>
    <row r="81" spans="1:8" x14ac:dyDescent="0.25">
      <c r="A81" s="192"/>
      <c r="B81" s="184"/>
      <c r="C81" s="103" t="s">
        <v>278</v>
      </c>
      <c r="D81" s="30" t="str">
        <f>IF(AND(NOT(ISBLANK(ClientFTPLoginName)),NOT(ISBLANK(ClientFTPDNSOrIP)),NOT(ISBLANK(ClientFTPPort))),"Run based on timer","")</f>
        <v/>
      </c>
    </row>
    <row r="82" spans="1:8" x14ac:dyDescent="0.25">
      <c r="A82" s="85">
        <v>2</v>
      </c>
      <c r="B82" s="54" t="s">
        <v>287</v>
      </c>
      <c r="C82" s="102"/>
      <c r="D82" s="34" t="str">
        <f>IF(AND(NOT(ISBLANK(ClientFTPLoginName)),NOT(ISBLANK(ClientFTPDNSOrIP)),NOT(ISBLANK(ClientFTPPort))),"&lt;Interval agreed with remote party&gt;","")</f>
        <v/>
      </c>
    </row>
    <row r="83" spans="1:8" x14ac:dyDescent="0.25">
      <c r="A83" s="190">
        <v>3</v>
      </c>
      <c r="B83" s="54" t="s">
        <v>288</v>
      </c>
      <c r="C83" s="102"/>
      <c r="D83" s="34" t="str">
        <f>IF(AND(NOT(ISBLANK(ClientFTPLoginName)),NOT(ISBLANK(ClientFTPDNSOrIP)),NOT(ISBLANK(ClientFTPPort))),CONCATENATE("&lt;Leave Empty&gt; (Preferred)",CHAR(10),"&lt;Exclusion time if required by partner&gt;"),"")</f>
        <v/>
      </c>
    </row>
    <row r="84" spans="1:8" x14ac:dyDescent="0.25">
      <c r="A84" s="191"/>
      <c r="B84" s="54" t="s">
        <v>414</v>
      </c>
      <c r="C84" s="102"/>
      <c r="D84" s="34" t="str">
        <f>IF(AND(NOT(ISBLANK(ClientFTPLoginName)),NOT(ISBLANK(ClientFTPDNSOrIP)),NOT(ISBLANK(ClientFTPPort))),CONCATENATE("&lt;Leave Empty&gt; (Preferred)",CHAR(10),"&lt;Exclusion date if required by partner&gt;"),"")</f>
        <v/>
      </c>
    </row>
    <row r="85" spans="1:8" x14ac:dyDescent="0.25">
      <c r="A85" s="191"/>
      <c r="B85" s="182" t="s">
        <v>415</v>
      </c>
      <c r="C85" s="102" t="s">
        <v>124</v>
      </c>
      <c r="D85" s="30" t="str">
        <f>ClientFTPBPName1</f>
        <v/>
      </c>
      <c r="E85" s="30" t="str">
        <f>ClientFTPBPName1Test</f>
        <v/>
      </c>
    </row>
    <row r="86" spans="1:8" x14ac:dyDescent="0.25">
      <c r="A86" s="192"/>
      <c r="B86" s="184"/>
      <c r="C86" s="102" t="s">
        <v>416</v>
      </c>
      <c r="D86" s="34" t="str">
        <f>IF(AND(NOT(ISBLANK(ClientFTPLoginName)),NOT(ISBLANK(ClientFTPDNSOrIP)),NOT(ISBLANK(ClientFTPPort))),"&lt;Leave Empty&gt;","")</f>
        <v/>
      </c>
    </row>
    <row r="90" spans="1:8" s="81" customFormat="1" x14ac:dyDescent="0.25">
      <c r="A90" s="82" t="s">
        <v>451</v>
      </c>
      <c r="C90" s="101"/>
      <c r="D90" s="89"/>
      <c r="E90" s="89"/>
      <c r="H90" s="82"/>
    </row>
    <row r="93" spans="1:8" x14ac:dyDescent="0.25">
      <c r="A93" s="26" t="s">
        <v>390</v>
      </c>
      <c r="B93" s="86"/>
    </row>
    <row r="97" spans="1:5" ht="30" x14ac:dyDescent="0.25">
      <c r="A97" s="79" t="s">
        <v>441</v>
      </c>
    </row>
    <row r="98" spans="1:5" x14ac:dyDescent="0.25">
      <c r="A98" s="35" t="s">
        <v>67</v>
      </c>
      <c r="B98" s="23" t="s">
        <v>68</v>
      </c>
      <c r="C98" s="99" t="s">
        <v>59</v>
      </c>
      <c r="D98" s="33" t="s">
        <v>438</v>
      </c>
      <c r="E98" s="33" t="s">
        <v>437</v>
      </c>
    </row>
    <row r="99" spans="1:5" x14ac:dyDescent="0.25">
      <c r="A99" s="85">
        <v>1</v>
      </c>
      <c r="B99" s="54" t="s">
        <v>385</v>
      </c>
      <c r="C99" s="30" t="s">
        <v>386</v>
      </c>
      <c r="D99" s="30" t="str">
        <f>IF(AND(NOT(ISBLANK(ClientFTPLoginName)),NOT(ISBLANK(ClientFTPDNSOrIP)),NOT(ISBLANK(ClientFTPPort)),NOT(ISBLANK(ClientFTPMessageType2))),"General Document","")</f>
        <v/>
      </c>
    </row>
    <row r="100" spans="1:5" x14ac:dyDescent="0.25">
      <c r="A100" s="190">
        <v>2</v>
      </c>
      <c r="B100" s="182" t="s">
        <v>102</v>
      </c>
      <c r="C100" s="30" t="s">
        <v>69</v>
      </c>
      <c r="D100" s="30" t="str">
        <f>IF(AND(NOT(ISBLANK(ClientFTPLoginName)),NOT(ISBLANK(ClientFTPDNSOrIP)),NOT(ISBLANK(ClientFTPPort)),NOT(ISBLANK(ClientFTPMessageType2))),_xlfn.CONCAT("DSV_",IF(IFERROR(FIND("@",ClientFTPLoginName),0)&gt;0,REPLACE(ClientFTPLoginName,FIND("@",ClientFTPLoginName),1,"_at_"),ClientFTPLoginName),"_",ClientFTPDNSOrIP,"_",ClientFTPPort,"_",IF(NOT(ISBLANK(ClientFTPMessageType2)),_xlfn.CONCAT(ClientFTPMessageType2,"_"),""),"ftp"),"")</f>
        <v/>
      </c>
      <c r="E100" s="30" t="str">
        <f>IF(AND(NOT(ISBLANK(ClientFTPLoginNameTest)),NOT(ISBLANK(ClientFTPDNSOrIPTest)),NOT(ISBLANK(ClientFTPPortTest)),NOT(ISBLANK(ClientFTPMessageType2))),_xlfn.CONCAT("DSV_",IF(IFERROR(FIND("@",ClientFTPLoginNameTest),0)&gt;0,REPLACE(ClientFTPLoginNameTest,FIND("@",ClientFTPLoginNameTest),1,"_at_"),ClientFTPLoginNameTest),"_",ClientFTPDNSOrIPTest,"_",ClientFTPPortTest,"_",IF(NOT(ISBLANK(ClientFTPMessageType2)),_xlfn.CONCAT(ClientFTPMessageType2,"_"),""),"ftp"),"")</f>
        <v/>
      </c>
    </row>
    <row r="101" spans="1:5" x14ac:dyDescent="0.25">
      <c r="A101" s="191"/>
      <c r="B101" s="183"/>
      <c r="C101" s="30" t="s">
        <v>70</v>
      </c>
      <c r="D101" s="30" t="str">
        <f>IF(AND(NOT(ISBLANK(ClientFTPLoginName)),NOT(ISBLANK(ClientFTPDNSOrIP)),NOT(ISBLANK(ClientFTPPort)),NOT(ISBLANK(ClientFTPMessageType2))),ClientFTPProfileName2,"")</f>
        <v/>
      </c>
      <c r="E101" s="30" t="str">
        <f>IF(AND(NOT(ISBLANK(ClientFTPLoginNameTest)),NOT(ISBLANK(ClientFTPDNSOrIPTest)),NOT(ISBLANK(ClientFTPPortTest)),NOT(ISBLANK(ClientFTPMessageType2))),ClientFTPProfileName2Test,"")</f>
        <v/>
      </c>
    </row>
    <row r="102" spans="1:5" x14ac:dyDescent="0.25">
      <c r="A102" s="191"/>
      <c r="B102" s="183"/>
      <c r="C102" s="30" t="s">
        <v>71</v>
      </c>
      <c r="D102" s="30" t="str">
        <f>IF(AND(NOT(ISBLANK(ClientFTPLoginName)),NOT(ISBLANK(ClientFTPDNSOrIP)),NOT(ISBLANK(ClientFTPPort)),NOT(ISBLANK(ClientFTPMessageType2))),"FTP Server Profile for LW FW","")</f>
        <v/>
      </c>
    </row>
    <row r="103" spans="1:5" x14ac:dyDescent="0.25">
      <c r="A103" s="191"/>
      <c r="B103" s="183"/>
      <c r="C103" s="30" t="s">
        <v>72</v>
      </c>
      <c r="D103" s="34" t="str">
        <f>IF(AND(NOT(ISBLANK(ClientFTPLoginName)),NOT(ISBLANK(ClientFTPDNSOrIP)),NOT(ISBLANK(ClientFTPPort)),NOT(ISBLANK(ClientFTPMessageType2))),"&lt;Leave Empty&gt;","")</f>
        <v/>
      </c>
    </row>
    <row r="104" spans="1:5" x14ac:dyDescent="0.25">
      <c r="A104" s="191"/>
      <c r="B104" s="183"/>
      <c r="C104" s="30" t="s">
        <v>73</v>
      </c>
      <c r="D104" s="30" t="str">
        <f>IF(AND(NOT(ISBLANK(ClientFTPLoginName)),NOT(ISBLANK(ClientFTPDNSOrIP)),NOT(ISBLANK(ClientFTPPort)),NOT(ISBLANK(ClientFTPMessageType2))),"N/A","")</f>
        <v/>
      </c>
    </row>
    <row r="105" spans="1:5" x14ac:dyDescent="0.25">
      <c r="A105" s="191"/>
      <c r="B105" s="183"/>
      <c r="C105" s="30" t="s">
        <v>74</v>
      </c>
      <c r="D105" s="34" t="str">
        <f>IF(AND(NOT(ISBLANK(ClientFTPLoginName)),NOT(ISBLANK(ClientFTPDNSOrIP)),NOT(ISBLANK(ClientFTPPort)),NOT(ISBLANK(ClientFTPMessageType2))),"&lt;Leave Empty&gt;","")</f>
        <v/>
      </c>
    </row>
    <row r="106" spans="1:5" x14ac:dyDescent="0.25">
      <c r="A106" s="191"/>
      <c r="B106" s="183"/>
      <c r="C106" s="30" t="s">
        <v>387</v>
      </c>
      <c r="D106" s="30" t="str">
        <f>IF(AND(NOT(ISBLANK(ClientFTPLoginName)),NOT(ISBLANK(ClientFTPDNSOrIP)),NOT(ISBLANK(ClientFTPPort)),NOT(ISBLANK(ClientFTPMessageType2))),"N/A","")</f>
        <v/>
      </c>
    </row>
    <row r="107" spans="1:5" x14ac:dyDescent="0.25">
      <c r="A107" s="191"/>
      <c r="B107" s="183"/>
      <c r="C107" s="30" t="s">
        <v>388</v>
      </c>
      <c r="D107" s="34" t="str">
        <f>IF(AND(NOT(ISBLANK(ClientFTPLoginName)),NOT(ISBLANK(ClientFTPDNSOrIP)),NOT(ISBLANK(ClientFTPPort)),NOT(ISBLANK(ClientFTPMessageType2))),"&lt;Leave Empty&gt;","")</f>
        <v/>
      </c>
    </row>
    <row r="108" spans="1:5" x14ac:dyDescent="0.25">
      <c r="A108" s="191"/>
      <c r="B108" s="183"/>
      <c r="C108" s="30" t="s">
        <v>75</v>
      </c>
      <c r="D108" s="34" t="str">
        <f>IF(AND(NOT(ISBLANK(ClientFTPLoginName)),NOT(ISBLANK(ClientFTPDNSOrIP)),NOT(ISBLANK(ClientFTPPort)),NOT(ISBLANK(ClientFTPMessageType2))),"&lt;Leave Empty&gt;","")</f>
        <v/>
      </c>
    </row>
    <row r="109" spans="1:5" x14ac:dyDescent="0.25">
      <c r="A109" s="191"/>
      <c r="B109" s="183"/>
      <c r="C109" s="30" t="s">
        <v>76</v>
      </c>
      <c r="D109" s="34" t="str">
        <f>IF(AND(NOT(ISBLANK(ClientFTPLoginName)),NOT(ISBLANK(ClientFTPDNSOrIP)),NOT(ISBLANK(ClientFTPPort)),NOT(ISBLANK(ClientFTPMessageType2))),"&lt;Does not matter; leave the default value&gt;","")</f>
        <v/>
      </c>
    </row>
    <row r="110" spans="1:5" x14ac:dyDescent="0.25">
      <c r="A110" s="192"/>
      <c r="B110" s="184"/>
      <c r="C110" s="30" t="s">
        <v>389</v>
      </c>
      <c r="D110" s="34" t="str">
        <f>IF(AND(NOT(ISBLANK(ClientFTPLoginName)),NOT(ISBLANK(ClientFTPDNSOrIP)),NOT(ISBLANK(ClientFTPPort)),NOT(ISBLANK(ClientFTPMessageType2))),"&lt;Does not matter; leave the default value&gt;","")</f>
        <v/>
      </c>
    </row>
    <row r="111" spans="1:5" x14ac:dyDescent="0.25">
      <c r="A111" s="85">
        <v>3</v>
      </c>
      <c r="B111" s="54" t="s">
        <v>391</v>
      </c>
      <c r="C111" s="30" t="s">
        <v>391</v>
      </c>
      <c r="D111" s="30" t="str">
        <f>IF(AND(NOT(ISBLANK(ClientFTPLoginName)),NOT(ISBLANK(ClientFTPDNSOrIP)),NOT(ISBLANK(ClientFTPPort)),NOT(ISBLANK(ClientFTPMessageType2))),"FTP","")</f>
        <v/>
      </c>
    </row>
    <row r="112" spans="1:5" x14ac:dyDescent="0.25">
      <c r="A112" s="190">
        <v>4</v>
      </c>
      <c r="B112" s="182" t="s">
        <v>396</v>
      </c>
      <c r="C112" s="30" t="s">
        <v>392</v>
      </c>
      <c r="D112" s="30" t="str">
        <f>IF(AND(NOT(ISBLANK(ClientFTPLoginName)),NOT(ISBLANK(ClientFTPDNSOrIP)),NOT(ISBLANK(ClientFTPPort)),NOT(ISBLANK(ClientFTPMessageType2))),ClientFTPDNSOrIP,"")</f>
        <v/>
      </c>
      <c r="E112" s="30" t="str">
        <f>IF(AND(NOT(ISBLANK(ClientFTPLoginNameTest)),NOT(ISBLANK(ClientFTPDNSOrIPTest)),NOT(ISBLANK(ClientFTPPortTest)),NOT(ISBLANK(ClientFTPMessageType2))),ClientFTPDNSOrIPTest,"")</f>
        <v/>
      </c>
    </row>
    <row r="113" spans="1:5" x14ac:dyDescent="0.25">
      <c r="A113" s="191"/>
      <c r="B113" s="183"/>
      <c r="C113" s="30" t="s">
        <v>393</v>
      </c>
      <c r="D113" s="30" t="str">
        <f>IF(AND(NOT(ISBLANK(ClientFTPLoginName)),NOT(ISBLANK(ClientFTPDNSOrIP)),NOT(ISBLANK(ClientFTPPort)),NOT(ISBLANK(ClientFTPMessageType2))),ClientFTPPort,"")</f>
        <v/>
      </c>
      <c r="E113" s="30" t="str">
        <f>IF(AND(NOT(ISBLANK(ClientFTPLoginNameTest)),NOT(ISBLANK(ClientFTPDNSOrIPTest)),NOT(ISBLANK(ClientFTPPortTest)),NOT(ISBLANK(ClientFTPMessageType2))),ClientFTPPortTest,"")</f>
        <v/>
      </c>
    </row>
    <row r="114" spans="1:5" x14ac:dyDescent="0.25">
      <c r="A114" s="191"/>
      <c r="B114" s="183"/>
      <c r="C114" s="30" t="s">
        <v>394</v>
      </c>
      <c r="D114" s="34" t="str">
        <f>IF(AND(NOT(ISBLANK(ClientFTPLoginName)),NOT(ISBLANK(ClientFTPDNSOrIP)),NOT(ISBLANK(ClientFTPPort)),NOT(ISBLANK(ClientFTPMessageType2))),"&lt;Leave Empty&gt;","")</f>
        <v/>
      </c>
      <c r="E114" s="25"/>
    </row>
    <row r="115" spans="1:5" x14ac:dyDescent="0.25">
      <c r="A115" s="191"/>
      <c r="B115" s="183"/>
      <c r="C115" s="30" t="s">
        <v>207</v>
      </c>
      <c r="D115" s="30" t="str">
        <f>IF(AND(NOT(ISBLANK(ClientFTPLoginName)),NOT(ISBLANK(ClientFTPDNSOrIP)),NOT(ISBLANK(ClientFTPPort)),NOT(ISBLANK(ClientFTPMessageType2))),60,"")</f>
        <v/>
      </c>
    </row>
    <row r="116" spans="1:5" x14ac:dyDescent="0.25">
      <c r="A116" s="191"/>
      <c r="B116" s="183"/>
      <c r="C116" s="30" t="s">
        <v>395</v>
      </c>
      <c r="D116" s="30" t="str">
        <f>IF(AND(NOT(ISBLANK(ClientFTPLoginName)),NOT(ISBLANK(ClientFTPDNSOrIP)),NOT(ISBLANK(ClientFTPPort)),NOT(ISBLANK(ClientFTPMessageType2))),"PUT","")</f>
        <v/>
      </c>
    </row>
    <row r="117" spans="1:5" x14ac:dyDescent="0.25">
      <c r="A117" s="191"/>
      <c r="B117" s="183"/>
      <c r="C117" s="30" t="s">
        <v>3</v>
      </c>
      <c r="D117" s="30" t="str">
        <f>IF(AND(NOT(ISBLANK(ClientFTPLoginName)),NOT(ISBLANK(ClientFTPDNSOrIP)),NOT(ISBLANK(ClientFTPPort)),NOT(ISBLANK(ClientFTPMessageType2))),ClientFTPLoginName,"")</f>
        <v/>
      </c>
      <c r="E117" s="30" t="str">
        <f>IF(AND(NOT(ISBLANK(ClientFTPLoginNameTest)),NOT(ISBLANK(ClientFTPDNSOrIPTest)),NOT(ISBLANK(ClientFTPPortTest)),NOT(ISBLANK(ClientFTPMessageType2))),ClientFTPLoginNameTest,"")</f>
        <v/>
      </c>
    </row>
    <row r="118" spans="1:5" x14ac:dyDescent="0.25">
      <c r="A118" s="192"/>
      <c r="B118" s="184"/>
      <c r="C118" s="30" t="s">
        <v>1</v>
      </c>
      <c r="D118" s="30" t="str">
        <f>IF(AND(NOT(ISBLANK(ClientFTPLoginName)),NOT(ISBLANK(ClientFTPDNSOrIP)),NOT(ISBLANK(ClientFTPPort)),NOT(ISBLANK(ClientFTPMessageType2))),ClientFTPPassword,"")</f>
        <v/>
      </c>
      <c r="E118" s="90" t="str">
        <f>IF(AND(NOT(ISBLANK(ClientFTPLoginNameTest)),NOT(ISBLANK(ClientFTPDNSOrIPTest)),NOT(ISBLANK(ClientFTPPortTest)),NOT(ISBLANK(ClientFTPMessageType2))),ClientFTPPasswordTest,"")</f>
        <v/>
      </c>
    </row>
    <row r="121" spans="1:5" ht="30" x14ac:dyDescent="0.25">
      <c r="A121" s="87" t="s">
        <v>434</v>
      </c>
    </row>
    <row r="122" spans="1:5" x14ac:dyDescent="0.25">
      <c r="A122" s="35" t="s">
        <v>439</v>
      </c>
      <c r="B122" s="35" t="s">
        <v>440</v>
      </c>
    </row>
    <row r="123" spans="1:5" x14ac:dyDescent="0.25">
      <c r="A123" s="26" t="str">
        <f>IF(AND(NOT(ISBLANK(ClientFTPLoginName)),NOT(ISBLANK(ClientFTPDNSOrIP)),NOT(ISBLANK(ClientFTPPort)),NOT(ISBLANK(ClientFTPMessageType2))),_xlfn.CONCAT("DSV_",RIGHT(_xlfn.CONCAT(IF(IFERROR(FIND("@",ClientFTPLoginName),0)&gt;0,REPLACE(ClientFTPLoginName,FIND("@",ClientFTPLoginName),1,"_at_"),ClientFTPLoginName),"_",ClientFTPDNSOrIP),64-(4+LEN(_xlfn.CONCAT("_",ClientFTPPort,"_",IF(NOT(ISBLANK(ClientFTPMessageType2)),_xlfn.CONCAT(ClientFTPMessageType2,"_"),""),"pf")))),"_",ClientFTPPort,"_",IF(NOT(ISBLANK(ClientFTPMessageType2)),_xlfn.CONCAT(ClientFTPMessageType2,"_"),""),"pf"),"")</f>
        <v/>
      </c>
      <c r="B123" s="26" t="str">
        <f>IF(AND(NOT(ISBLANK(ClientFTPLoginNameTest)),NOT(ISBLANK(ClientFTPDNSOrIPTest)),NOT(ISBLANK(ClientFTPPortTest)),NOT(ISBLANK(ClientFTPMessageType2))),_xlfn.CONCAT("DSV_",RIGHT(_xlfn.CONCAT(IF(IFERROR(FIND("@",ClientFTPLoginNameTest),0)&gt;0,REPLACE(ClientFTPLoginNameTest,FIND("@",ClientFTPLoginNameTest),1,"_at_"),ClientFTPLoginNameTest),"_",ClientFTPDNSOrIPTest),64-(4+LEN(_xlfn.CONCAT("_",ClientFTPPortTest,"_",IF(NOT(ISBLANK(ClientFTPMessageType2)),_xlfn.CONCAT(ClientFTPMessageType2,"_"),""),"pf")))),"_",ClientFTPPortTest,"_",IF(NOT(ISBLANK(ClientFTPMessageType2)),_xlfn.CONCAT(ClientFTPMessageType2,"_"),""),"pf"),"")</f>
        <v/>
      </c>
    </row>
    <row r="125" spans="1:5" x14ac:dyDescent="0.25">
      <c r="A125" s="84" t="s">
        <v>397</v>
      </c>
    </row>
    <row r="127" spans="1:5" x14ac:dyDescent="0.25">
      <c r="A127" s="26" t="s">
        <v>417</v>
      </c>
      <c r="B127" s="83">
        <v>1</v>
      </c>
    </row>
    <row r="129" spans="1:5" x14ac:dyDescent="0.25">
      <c r="A129" s="35" t="s">
        <v>67</v>
      </c>
      <c r="B129" s="23" t="s">
        <v>68</v>
      </c>
      <c r="C129" s="99" t="s">
        <v>59</v>
      </c>
      <c r="D129" s="33" t="s">
        <v>438</v>
      </c>
      <c r="E129" s="33" t="s">
        <v>437</v>
      </c>
    </row>
    <row r="130" spans="1:5" x14ac:dyDescent="0.25">
      <c r="A130" s="188">
        <v>1</v>
      </c>
      <c r="B130" s="24" t="s">
        <v>398</v>
      </c>
      <c r="C130" s="102" t="s">
        <v>69</v>
      </c>
      <c r="D130" s="30" t="str">
        <f>IF(AND(NOT(ISBLANK(ClientFTPLoginName)),NOT(ISBLANK(ClientFTPDNSOrIP)),NOT(ISBLANK(ClientFTPPort)),NOT(ISBLANK(ClientFTPMessageType2))),_xlfn.CONCAT("DSV_BP_FTPGET_",IF(IFERROR(FIND("@",ClientFTPLoginName),0)&gt;0,REPLACE(ClientFTPLoginName,FIND("@",ClientFTPLoginName),1,"_at_"),ClientFTPLoginName),"_",ClientFTPDNSOrIP,"_",ClientFTPPort,"_bp"),"")</f>
        <v/>
      </c>
      <c r="E130" s="30" t="str">
        <f>IF(AND(NOT(ISBLANK(ClientFTPLoginNameTest)),NOT(ISBLANK(ClientFTPDNSOrIPTest)),NOT(ISBLANK(ClientFTPPortTest)),NOT(ISBLANK(ClientFTPMessageType2))),_xlfn.CONCAT("DSV_BP_FTPGET_",IF(IFERROR(FIND("@",ClientFTPLoginNameTest),0)&gt;0,REPLACE(ClientFTPLoginNameTest,FIND("@",ClientFTPLoginNameTest),1,"_at_"),ClientFTPLoginNameTest),"_",ClientFTPDNSOrIPTest,"_",ClientFTPPortTest,"_bp"),"")</f>
        <v/>
      </c>
    </row>
    <row r="131" spans="1:5" ht="30" x14ac:dyDescent="0.25">
      <c r="A131" s="189"/>
      <c r="B131" s="24"/>
      <c r="C131" s="102" t="s">
        <v>399</v>
      </c>
      <c r="D131" s="30" t="str">
        <f>IF(AND(NOT(ISBLANK(ClientFTPLoginName)),NOT(ISBLANK(ClientFTPDNSOrIP)),NOT(ISBLANK(ClientFTPPort)),NOT(ISBLANK(ClientFTPMessageType2))),"Business Process Text Editor","")</f>
        <v/>
      </c>
    </row>
    <row r="132" spans="1:5" x14ac:dyDescent="0.25">
      <c r="A132" s="188">
        <v>2</v>
      </c>
      <c r="B132" s="24" t="s">
        <v>400</v>
      </c>
      <c r="C132" s="102" t="s">
        <v>81</v>
      </c>
      <c r="D132" s="30" t="str">
        <f>IF(AND(NOT(ISBLANK(ClientFTPLoginName)),NOT(ISBLANK(ClientFTPDNSOrIP)),NOT(ISBLANK(ClientFTPPort)),NOT(ISBLANK(ClientFTPMessageType2))),_xlfn.CONCAT("v",ClientFTPBPVersion2," - ",RITMNumber," - FTP to ",IF(IFERROR(FIND("@",ClientFTPLoginName),0)&gt;0,REPLACE(ClientFTPLoginName,FIND("@",ClientFTPLoginName),1,"_at_"),ClientFTPLoginName),"@",ClientFTPDNSOrIP,"_",ClientFTPPort),"")</f>
        <v/>
      </c>
      <c r="E132" s="30" t="str">
        <f>IF(AND(NOT(ISBLANK(ClientFTPLoginName)),NOT(ISBLANK(ClientFTPDNSOrIP)),NOT(ISBLANK(ClientFTPPort)),NOT(ISBLANK(ClientFTPMessageType2))),_xlfn.CONCAT("v",ClientFTPBPVersion1," - ",RITMNumber," - FTP to ",IF(IFERROR(FIND("@",ClientFTPLoginNameTest),0)&gt;0,REPLACE(ClientFTPLoginNameTest,FIND("@",ClientFTPLoginNameTest),1,"_at_"),ClientFTPLoginNameTest),"@",ClientFTPDNSOrIPTest,"_",ClientFTPPortTest),"")</f>
        <v/>
      </c>
    </row>
    <row r="133" spans="1:5" ht="91.5" customHeight="1" x14ac:dyDescent="0.25">
      <c r="A133" s="189"/>
      <c r="B133" s="24"/>
      <c r="C133" s="102" t="s">
        <v>124</v>
      </c>
      <c r="D133" s="30" t="str">
        <f>IF(AND(NOT(ISBLANK(ClientFTPLoginName)),NOT(ISBLANK(ClientFTPDNSOrIP)),NOT(ISBLANK(ClientFTPPort)),NOT(ISBLANK(ClientFTPMessageType2))),CONCATENATE("&lt;?xml version="&amp;CHAR(34)&amp;"1.0"&amp;CHAR(34)&amp;" encoding="&amp;CHAR(34)&amp;"UTF-8"&amp;CHAR(34)&amp;"?&gt;",CHAR(10),"&lt;process name="&amp;CHAR(34),ClientFTPBPName2,CHAR(34),"&gt;",CHAR(10),CHAR(9),"&lt;sequence name="&amp;CHAR(34)&amp;"Main"&amp;CHAR(34)&amp;"&gt;",CHAR(10),CHAR(9),CHAR(9),"&lt;operation name=",CHAR(34),"Invoke 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c r="E133" s="30" t="str">
        <f>IF(AND(NOT(ISBLANK(ClientFTPLoginName)),NOT(ISBLANK(ClientFTPDNSOrIP)),NOT(ISBLANK(ClientFTPPort)),NOT(ISBLANK(ClientFTPMessageType2))),CONCATENATE("&lt;?xml version="&amp;CHAR(34)&amp;"1.0"&amp;CHAR(34)&amp;" encoding="&amp;CHAR(34)&amp;"UTF-8"&amp;CHAR(34)&amp;"?&gt;",CHAR(10),"&lt;process name="&amp;CHAR(34),ClientFTPBPName1Test,CHAR(34),"&gt;",CHAR(10),CHAR(9),"&lt;sequence name="&amp;CHAR(34)&amp;"Main"&amp;CHAR(34)&amp;"&gt;",CHAR(10),CHAR(9),CHAR(9),"&lt;operation name=",CHAR(34),"Invoke 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row>
    <row r="134" spans="1:5" x14ac:dyDescent="0.25">
      <c r="A134" s="26">
        <v>3</v>
      </c>
      <c r="B134" s="24" t="s">
        <v>401</v>
      </c>
      <c r="C134" s="102" t="s">
        <v>402</v>
      </c>
      <c r="D134" s="30" t="str">
        <f>IF(AND(NOT(ISBLANK(ClientFTPLoginName)),NOT(ISBLANK(ClientFTPDNSOrIP)),NOT(ISBLANK(ClientFTPPort)),NOT(ISBLANK(ClientFTPMessageType2))),"&lt;Leave As Is&gt;","")</f>
        <v/>
      </c>
    </row>
    <row r="138" spans="1:5" x14ac:dyDescent="0.25">
      <c r="A138" s="79" t="s">
        <v>459</v>
      </c>
    </row>
    <row r="139" spans="1:5" x14ac:dyDescent="0.25">
      <c r="A139" s="35" t="s">
        <v>67</v>
      </c>
      <c r="B139" s="23" t="s">
        <v>68</v>
      </c>
      <c r="C139" s="99" t="s">
        <v>59</v>
      </c>
      <c r="D139" s="33" t="s">
        <v>438</v>
      </c>
      <c r="E139" s="33" t="s">
        <v>437</v>
      </c>
    </row>
    <row r="140" spans="1:5" x14ac:dyDescent="0.25">
      <c r="A140" s="190">
        <v>1</v>
      </c>
      <c r="B140" s="182" t="s">
        <v>403</v>
      </c>
      <c r="C140" s="102" t="s">
        <v>404</v>
      </c>
      <c r="D140" s="30" t="str">
        <f>ClientFTPBPName2</f>
        <v/>
      </c>
      <c r="E140" s="30" t="str">
        <f>ClientFTPBPName2Test</f>
        <v/>
      </c>
    </row>
    <row r="141" spans="1:5" x14ac:dyDescent="0.25">
      <c r="A141" s="191"/>
      <c r="B141" s="184"/>
      <c r="C141" s="102" t="s">
        <v>384</v>
      </c>
      <c r="D141" s="30" t="str">
        <f>ClientFTPNewProfileName2</f>
        <v/>
      </c>
      <c r="E141" s="30" t="str">
        <f>ClientFTPNewProfileName2Test</f>
        <v/>
      </c>
    </row>
    <row r="142" spans="1:5" x14ac:dyDescent="0.25">
      <c r="A142" s="191"/>
      <c r="B142" s="182" t="s">
        <v>405</v>
      </c>
      <c r="C142" s="102" t="s">
        <v>406</v>
      </c>
      <c r="D142" s="107" t="str">
        <f>IF(AND(NOT(ISBLANK(ClientFTPLoginName)),NOT(ISBLANK(ClientFTPDNSOrIP)),NOT(ISBLANK(ClientFTPPort)),NOT(ISBLANK(ClientFTPMessageType2))),"&lt;Leave Empty&gt;","")</f>
        <v/>
      </c>
    </row>
    <row r="143" spans="1:5" ht="29.25" customHeight="1" x14ac:dyDescent="0.25">
      <c r="A143" s="191"/>
      <c r="B143" s="183"/>
      <c r="C143" s="106" t="s">
        <v>407</v>
      </c>
      <c r="D143" s="26" t="str">
        <f>IF(AND(NOT(ISBLANK(ClientFTPLoginName)),NOT(ISBLANK(ClientFTPDNSOrIP)),NOT(ISBLANK(ClientFTPPort)),NOT(ISBLANK(ClientFTPMessageType2))),"&lt;Full path to download folder&gt; (Comma separated list in case of multiple folders)","")</f>
        <v/>
      </c>
      <c r="E143" s="26" t="str">
        <f>IF(AND(NOT(ISBLANK(ClientFTPLoginNameTest)),NOT(ISBLANK(ClientFTPDNSOrIPTest)),NOT(ISBLANK(ClientFTPPortTest)),NOT(ISBLANK(ClientFTPMessageType2))),"&lt;Full path to download folder&gt; (Comma separated list in case of multiple folders)","")</f>
        <v/>
      </c>
    </row>
    <row r="144" spans="1:5" ht="30" customHeight="1" x14ac:dyDescent="0.25">
      <c r="A144" s="191"/>
      <c r="B144" s="183"/>
      <c r="C144" s="106" t="s">
        <v>408</v>
      </c>
      <c r="D144" s="26" t="str">
        <f>IF(AND(NOT(ISBLANK(ClientFTPLoginName)),NOT(ISBLANK(ClientFTPDNSOrIP)),NOT(ISBLANK(ClientFTPPort)),NOT(ISBLANK(ClientFTPMessageType2))),"&lt;Filename masks of files to download&gt; (Comma separated list in case of multiple filename masks)","")</f>
        <v/>
      </c>
      <c r="E144" s="26" t="str">
        <f>IF(AND(NOT(ISBLANK(ClientFTPLoginNameTest)),NOT(ISBLANK(ClientFTPDNSOrIPTest)),NOT(ISBLANK(ClientFTPPortTest)),NOT(ISBLANK(ClientFTPMessageType2))),"&lt;Filename masks of files to download&gt; (Comma separated list in case of multiple filename masks)","")</f>
        <v/>
      </c>
    </row>
    <row r="145" spans="1:5" ht="33" customHeight="1" x14ac:dyDescent="0.25">
      <c r="A145" s="191"/>
      <c r="B145" s="183"/>
      <c r="C145" s="102" t="s">
        <v>409</v>
      </c>
      <c r="D145" s="108" t="str">
        <f>IF(AND(NOT(ISBLANK(ClientFTPLoginName)),NOT(ISBLANK(ClientFTPDNSOrIP)),NOT(ISBLANK(ClientFTPPort)),NOT(ISBLANK(ClientFTPMessageType2))),CONCATENATE("Y (If file should be deleted after download)",CHAR(10),"N (If file should not be deleted after download)"),"")</f>
        <v/>
      </c>
    </row>
    <row r="146" spans="1:5" ht="30" customHeight="1" x14ac:dyDescent="0.25">
      <c r="A146" s="191"/>
      <c r="B146" s="183"/>
      <c r="C146" s="106" t="s">
        <v>410</v>
      </c>
      <c r="D146" s="26" t="str">
        <f>IF(AND(NOT(ISBLANK(ClientFTPLoginName)),NOT(ISBLANK(ClientFTPDNSOrIP)),NOT(ISBLANK(ClientFTPPort)),NOT(ISBLANK(ClientFTPMessageType2))),"&lt;Full path to history folder on FTP Server to move file to after download&gt; (Leave empty if no history folder)","")</f>
        <v/>
      </c>
      <c r="E146" s="26" t="str">
        <f>IF(AND(NOT(ISBLANK(ClientFTPLoginNameTest)),NOT(ISBLANK(ClientFTPDNSOrIPTest)),NOT(ISBLANK(ClientFTPPortTest)),NOT(ISBLANK(ClientFTPMessageType2))),"&lt;Full path to history folder on FTP Server to move file to after download&gt; (Leave empty if no history folder)","")</f>
        <v/>
      </c>
    </row>
    <row r="147" spans="1:5" x14ac:dyDescent="0.25">
      <c r="A147" s="191"/>
      <c r="B147" s="183"/>
      <c r="C147" s="102" t="s">
        <v>411</v>
      </c>
      <c r="D147" s="109" t="str">
        <f>IF(AND(NOT(ISBLANK(ClientFTPLoginName)),NOT(ISBLANK(ClientFTPDNSOrIP)),NOT(ISBLANK(ClientFTPPort)),NOT(ISBLANK(ClientFTPMessageType2))),CONCATENATE("&lt;Leave Empty&gt; (Preferred)",CHAR(10),"ASCII (If required by partner)"),"")</f>
        <v/>
      </c>
    </row>
    <row r="148" spans="1:5" x14ac:dyDescent="0.25">
      <c r="A148" s="192"/>
      <c r="B148" s="184"/>
      <c r="C148" s="102" t="s">
        <v>412</v>
      </c>
      <c r="D148" s="30" t="str">
        <f>IF(AND(NOT(ISBLANK(ClientFTPLoginName)),NOT(ISBLANK(ClientFTPDNSOrIP)),NOT(ISBLANK(ClientFTPPort)),NOT(ISBLANK(ClientFTPMessageType2))),IF(UPPER(PartnerType)="DSV","DSV_SA_FTP_CNXLOCAL_GROUP_cf","DSV_SA_FTP_CNXPX_GROUP_cf"),"")</f>
        <v/>
      </c>
    </row>
    <row r="152" spans="1:5" x14ac:dyDescent="0.25">
      <c r="A152" s="84" t="s">
        <v>442</v>
      </c>
    </row>
    <row r="153" spans="1:5" x14ac:dyDescent="0.25">
      <c r="A153" s="35" t="s">
        <v>67</v>
      </c>
      <c r="B153" s="23" t="s">
        <v>68</v>
      </c>
      <c r="C153" s="99" t="s">
        <v>59</v>
      </c>
      <c r="D153" s="33" t="s">
        <v>438</v>
      </c>
      <c r="E153" s="33" t="s">
        <v>437</v>
      </c>
    </row>
    <row r="154" spans="1:5" x14ac:dyDescent="0.25">
      <c r="A154" s="190">
        <v>1</v>
      </c>
      <c r="B154" s="182" t="s">
        <v>286</v>
      </c>
      <c r="C154" s="102" t="s">
        <v>276</v>
      </c>
      <c r="D154" s="30" t="str">
        <f>IF(AND(NOT(ISBLANK(ClientFTPLoginName)),NOT(ISBLANK(ClientFTPDNSOrIP)),NOT(ISBLANK(ClientFTPPort)),NOT(ISBLANK(ClientFTPMessageType2))),"admin","")</f>
        <v/>
      </c>
    </row>
    <row r="155" spans="1:5" x14ac:dyDescent="0.25">
      <c r="A155" s="191"/>
      <c r="B155" s="183"/>
      <c r="C155" s="103" t="s">
        <v>277</v>
      </c>
      <c r="D155" s="34" t="str">
        <f>IF(AND(NOT(ISBLANK(ClientFTPLoginName)),NOT(ISBLANK(ClientFTPDNSOrIP)),NOT(ISBLANK(ClientFTPPort)),NOT(ISBLANK(ClientFTPMessageType2))),"&lt;Unchecked&gt;","")</f>
        <v/>
      </c>
    </row>
    <row r="156" spans="1:5" x14ac:dyDescent="0.25">
      <c r="A156" s="192"/>
      <c r="B156" s="184"/>
      <c r="C156" s="103" t="s">
        <v>278</v>
      </c>
      <c r="D156" s="30" t="str">
        <f>IF(AND(NOT(ISBLANK(ClientFTPLoginName)),NOT(ISBLANK(ClientFTPDNSOrIP)),NOT(ISBLANK(ClientFTPPort)),NOT(ISBLANK(ClientFTPMessageType2))),"Run based on timer","")</f>
        <v/>
      </c>
    </row>
    <row r="157" spans="1:5" x14ac:dyDescent="0.25">
      <c r="A157" s="85">
        <v>2</v>
      </c>
      <c r="B157" s="54" t="s">
        <v>287</v>
      </c>
      <c r="C157" s="102"/>
      <c r="D157" s="34" t="str">
        <f>IF(AND(NOT(ISBLANK(ClientFTPLoginName)),NOT(ISBLANK(ClientFTPDNSOrIP)),NOT(ISBLANK(ClientFTPPort)),NOT(ISBLANK(ClientFTPMessageType2))),"&lt;Interval agreed with remote party&gt;","")</f>
        <v/>
      </c>
    </row>
    <row r="158" spans="1:5" x14ac:dyDescent="0.25">
      <c r="A158" s="190">
        <v>3</v>
      </c>
      <c r="B158" s="54" t="s">
        <v>288</v>
      </c>
      <c r="C158" s="102"/>
      <c r="D158" s="34" t="str">
        <f>IF(AND(NOT(ISBLANK(ClientFTPLoginName)),NOT(ISBLANK(ClientFTPDNSOrIP)),NOT(ISBLANK(ClientFTPPort)),NOT(ISBLANK(ClientFTPMessageType2))),CONCATENATE("&lt;Leave Empty&gt; (Preferred)",CHAR(10),"&lt;Exclusion time if required by partner&gt;"),"")</f>
        <v/>
      </c>
    </row>
    <row r="159" spans="1:5" x14ac:dyDescent="0.25">
      <c r="A159" s="191"/>
      <c r="B159" s="54" t="s">
        <v>414</v>
      </c>
      <c r="C159" s="102"/>
      <c r="D159" s="34" t="str">
        <f>IF(AND(NOT(ISBLANK(ClientFTPLoginName)),NOT(ISBLANK(ClientFTPDNSOrIP)),NOT(ISBLANK(ClientFTPPort)),NOT(ISBLANK(ClientFTPMessageType2))),CONCATENATE("&lt;Leave Empty&gt; (Preferred)",CHAR(10),"&lt;Exclusion date if required by partner&gt;"),"")</f>
        <v/>
      </c>
    </row>
    <row r="160" spans="1:5" x14ac:dyDescent="0.25">
      <c r="A160" s="191"/>
      <c r="B160" s="182" t="s">
        <v>415</v>
      </c>
      <c r="C160" s="102" t="s">
        <v>124</v>
      </c>
      <c r="D160" s="30" t="str">
        <f>ClientFTPBPName2</f>
        <v/>
      </c>
      <c r="E160" s="30" t="str">
        <f>ClientFTPBPName2Test</f>
        <v/>
      </c>
    </row>
    <row r="161" spans="1:4" x14ac:dyDescent="0.25">
      <c r="A161" s="192"/>
      <c r="B161" s="184"/>
      <c r="C161" s="102" t="s">
        <v>416</v>
      </c>
      <c r="D161" s="34" t="str">
        <f>IF(AND(NOT(ISBLANK(ClientFTPLoginName)),NOT(ISBLANK(ClientFTPDNSOrIP)),NOT(ISBLANK(ClientFTPPort)),NOT(ISBLANK(ClientFTPMessageType2))),"&lt;Leave Empty&gt;","")</f>
        <v/>
      </c>
    </row>
  </sheetData>
  <autoFilter ref="A1:D86" xr:uid="{00000000-0009-0000-0000-00000D000000}"/>
  <mergeCells count="26">
    <mergeCell ref="A158:A161"/>
    <mergeCell ref="B160:B161"/>
    <mergeCell ref="A132:A133"/>
    <mergeCell ref="A140:A148"/>
    <mergeCell ref="B140:B141"/>
    <mergeCell ref="B142:B148"/>
    <mergeCell ref="A154:A156"/>
    <mergeCell ref="B154:B156"/>
    <mergeCell ref="A100:A110"/>
    <mergeCell ref="B100:B110"/>
    <mergeCell ref="A112:A118"/>
    <mergeCell ref="B112:B118"/>
    <mergeCell ref="A130:A131"/>
    <mergeCell ref="A65:A73"/>
    <mergeCell ref="B65:B66"/>
    <mergeCell ref="B67:B73"/>
    <mergeCell ref="A79:A81"/>
    <mergeCell ref="A83:A86"/>
    <mergeCell ref="B79:B81"/>
    <mergeCell ref="B85:B86"/>
    <mergeCell ref="A57:A58"/>
    <mergeCell ref="A23:A33"/>
    <mergeCell ref="A35:A41"/>
    <mergeCell ref="B23:B33"/>
    <mergeCell ref="B35:B41"/>
    <mergeCell ref="A55:A56"/>
  </mergeCells>
  <dataValidations count="1">
    <dataValidation showInputMessage="1" showErrorMessage="1" error="Valid values are TRUE and FALSE." sqref="B3" xr:uid="{00000000-0002-0000-0D00-000000000000}"/>
  </dataValidations>
  <pageMargins left="0.7" right="0.7" top="0.75" bottom="0.75" header="0.3" footer="0.3"/>
  <pageSetup paperSize="9" orientation="portrait" r:id="rId1"/>
  <headerFooter>
    <oddFooter>&amp;C_x000D_&amp;1#&amp;"Calibri"&amp;10&amp;K000000 DSV internal</oddFooter>
  </headerFooter>
  <ignoredErrors>
    <ignoredError sqref="D27:D28 D29 D104:D105 D10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56" r:id="rId4" name="Button 4">
              <controlPr defaultSize="0" print="0" autoFill="0" autoPict="0" macro="[0]!ThisWorkbook.CopyClientFTPBPbpmlToClipboard">
                <anchor>
                  <from>
                    <xdr:col>4</xdr:col>
                    <xdr:colOff>2447925</xdr:colOff>
                    <xdr:row>57</xdr:row>
                    <xdr:rowOff>285750</xdr:rowOff>
                  </from>
                  <to>
                    <xdr:col>6</xdr:col>
                    <xdr:colOff>800100</xdr:colOff>
                    <xdr:row>57</xdr:row>
                    <xdr:rowOff>1085850</xdr:rowOff>
                  </to>
                </anchor>
              </controlPr>
            </control>
          </mc:Choice>
        </mc:AlternateContent>
        <mc:AlternateContent xmlns:mc="http://schemas.openxmlformats.org/markup-compatibility/2006">
          <mc:Choice Requires="x14">
            <control shapeId="23557" r:id="rId5" name="Button 5">
              <controlPr defaultSize="0" print="0" autoFill="0" autoPict="0" macro="[0]!ThisWorkbook.CopyClientFTPBPbpmlToClipboard">
                <anchor>
                  <from>
                    <xdr:col>4</xdr:col>
                    <xdr:colOff>2486025</xdr:colOff>
                    <xdr:row>131</xdr:row>
                    <xdr:rowOff>180975</xdr:rowOff>
                  </from>
                  <to>
                    <xdr:col>6</xdr:col>
                    <xdr:colOff>838200</xdr:colOff>
                    <xdr:row>132</xdr:row>
                    <xdr:rowOff>790575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rgb="FFFFC000"/>
  </sheetPr>
  <dimension ref="A1:H145"/>
  <sheetViews>
    <sheetView zoomScaleNormal="100" workbookViewId="0">
      <pane ySplit="1" topLeftCell="A2" activePane="bottomLeft" state="frozenSplit"/>
      <selection pane="bottomLeft" activeCell="B5" sqref="B5"/>
    </sheetView>
  </sheetViews>
  <sheetFormatPr defaultRowHeight="15" x14ac:dyDescent="0.25"/>
  <cols>
    <col min="1" max="1" width="55.42578125" style="25" bestFit="1" customWidth="1"/>
    <col min="2" max="2" width="41.42578125" bestFit="1" customWidth="1"/>
    <col min="3" max="3" width="44.85546875" style="25" bestFit="1" customWidth="1"/>
    <col min="4" max="4" width="67.42578125" style="32" customWidth="1"/>
    <col min="5" max="5" width="72.42578125" style="32" customWidth="1"/>
    <col min="6" max="6" width="11.28515625" customWidth="1"/>
    <col min="7" max="7" width="46.7109375" customWidth="1"/>
    <col min="8" max="8" width="47.7109375" style="25" bestFit="1" customWidth="1"/>
    <col min="9" max="9" width="18.42578125" bestFit="1" customWidth="1"/>
    <col min="10" max="10" width="44.85546875" bestFit="1" customWidth="1"/>
    <col min="11" max="11" width="53.140625" bestFit="1" customWidth="1"/>
  </cols>
  <sheetData>
    <row r="1" spans="1:8" s="16" customFormat="1" x14ac:dyDescent="0.25">
      <c r="A1" s="84" t="s">
        <v>452</v>
      </c>
      <c r="B1" s="114"/>
      <c r="C1" s="113"/>
      <c r="D1" s="117"/>
      <c r="E1" s="117"/>
      <c r="H1" s="69"/>
    </row>
    <row r="2" spans="1:8" x14ac:dyDescent="0.25">
      <c r="A2" s="113"/>
      <c r="B2" s="114"/>
      <c r="C2" s="113"/>
      <c r="D2" s="117"/>
      <c r="E2" s="117"/>
    </row>
    <row r="3" spans="1:8" x14ac:dyDescent="0.25">
      <c r="B3" s="25"/>
    </row>
    <row r="4" spans="1:8" x14ac:dyDescent="0.25">
      <c r="B4" s="23" t="s">
        <v>436</v>
      </c>
      <c r="C4" s="35" t="s">
        <v>435</v>
      </c>
    </row>
    <row r="5" spans="1:8" x14ac:dyDescent="0.25">
      <c r="A5" s="35" t="s">
        <v>460</v>
      </c>
      <c r="B5" s="177"/>
      <c r="C5" s="128"/>
    </row>
    <row r="6" spans="1:8" x14ac:dyDescent="0.25">
      <c r="A6" s="35" t="s">
        <v>461</v>
      </c>
      <c r="B6" s="180"/>
      <c r="C6" s="128"/>
    </row>
    <row r="7" spans="1:8" x14ac:dyDescent="0.25">
      <c r="A7" s="35" t="s">
        <v>462</v>
      </c>
      <c r="B7" s="91"/>
      <c r="C7" s="129"/>
    </row>
    <row r="8" spans="1:8" x14ac:dyDescent="0.25">
      <c r="A8" s="32"/>
      <c r="B8" s="32"/>
      <c r="C8" s="32"/>
    </row>
    <row r="10" spans="1:8" ht="45.95" customHeight="1" x14ac:dyDescent="0.25">
      <c r="A10" s="104" t="str">
        <f>IF(NOT(ISBLANK(PartnerDesignation)),CONCATENATE("Enter the Partner Code ",CHAR(10),"'",PartnerDesignation,"'",CHAR(10),"in CamelNotation:"),"Please enter a value in the 'Party Code' field in the Master data worksheet.")</f>
        <v>Please enter a value in the 'Party Code' field in the Master data worksheet.</v>
      </c>
      <c r="B10" s="83"/>
      <c r="C10"/>
    </row>
    <row r="13" spans="1:8" s="81" customFormat="1" x14ac:dyDescent="0.25">
      <c r="A13" s="82" t="s">
        <v>453</v>
      </c>
      <c r="C13" s="82"/>
      <c r="D13" s="92"/>
      <c r="E13" s="92"/>
      <c r="H13" s="82"/>
    </row>
    <row r="15" spans="1:8" x14ac:dyDescent="0.25">
      <c r="A15" s="69"/>
      <c r="B15" s="25"/>
      <c r="H15"/>
    </row>
    <row r="16" spans="1:8" x14ac:dyDescent="0.25">
      <c r="A16" s="35" t="s">
        <v>390</v>
      </c>
      <c r="B16" s="86"/>
      <c r="H16"/>
    </row>
    <row r="17" spans="1:8" x14ac:dyDescent="0.25">
      <c r="A17" s="35" t="str">
        <f>IF(AND(NOT(ISBLANK(ClientSFTPLoginName)),NOT(ISBLANK(ClientSFTPDNSOrIP)),NOT(ISBLANK(ClientSFTPPort)),NOT(ISBLANK(ClientSFTPPartnerInCamelNotation))),IF(ISBLANK(Platform),"Please select the platform in the 'Master data' worksheet.",IF(Platform="Corporate EDI","Is SFTP server inside DSV network?","")),"")</f>
        <v/>
      </c>
      <c r="B17" s="46"/>
      <c r="H17"/>
    </row>
    <row r="18" spans="1:8" x14ac:dyDescent="0.25">
      <c r="H18"/>
    </row>
    <row r="19" spans="1:8" x14ac:dyDescent="0.25">
      <c r="H19"/>
    </row>
    <row r="20" spans="1:8" ht="30" x14ac:dyDescent="0.25">
      <c r="A20" s="93" t="s">
        <v>649</v>
      </c>
      <c r="C20"/>
      <c r="H20"/>
    </row>
    <row r="21" spans="1:8" x14ac:dyDescent="0.25">
      <c r="A21" s="35" t="s">
        <v>67</v>
      </c>
      <c r="B21" s="23" t="s">
        <v>68</v>
      </c>
      <c r="C21" s="23" t="s">
        <v>59</v>
      </c>
      <c r="D21" s="33" t="s">
        <v>438</v>
      </c>
      <c r="E21" s="33" t="s">
        <v>437</v>
      </c>
      <c r="H21"/>
    </row>
    <row r="22" spans="1:8" x14ac:dyDescent="0.25">
      <c r="A22" s="190">
        <v>1</v>
      </c>
      <c r="B22" s="182" t="s">
        <v>418</v>
      </c>
      <c r="C22" s="147" t="s">
        <v>203</v>
      </c>
      <c r="D22" s="30" t="str">
        <f>IF(AND(NOT(ISBLANK(ClientSFTPPartnerInCamelNotation)),NOT(ISBLANK(ClientSFTPLoginName)),NOT(ISBLANK(ClientSFTPDNSOrIP)),NOT(ISBLANK(ClientSFTPPort))),_xlfn.CONCAT("DSV_SSH_",LEFT(_xlfn.CONCAT(IF(IFERROR(FIND("@",ClientSFTPLoginName),0)&gt;0,REPLACE(ClientSFTPLoginName,FIND("@",ClientSFTPLoginName),1,"_at_"),ClientSFTPLoginName),"_",ClientSFTPDNSOrIP),64-(8+LEN(_xlfn.CONCAT("_",ClientSFTPPort,"_",IF(NOT(ISBLANK(ClientSFTPMessageType1)),_xlfn.CONCAT(ClientSFTPMessageType1,"_"),""),"pf")))),"_",ClientSFTPPort,"_",IF(NOT(ISBLANK(ClientSFTPMessageType1)),_xlfn.CONCAT(ClientSFTPMessageType1,"_"),""),"pf"),"")</f>
        <v/>
      </c>
      <c r="E22" s="30" t="str">
        <f>IF(AND(NOT(ISBLANK(ClientSFTPPartnerInCamelNotation)),NOT(ISBLANK(ClientSFTPLoginNameTest)),NOT(ISBLANK(ClientSFTPDNSOrIPTest)),NOT(ISBLANK(ClientSFTPPortTest))),_xlfn.CONCAT("DSV_SSH_",LEFT(_xlfn.CONCAT(IF(IFERROR(FIND("@",ClientSFTPLoginNameTest),0)&gt;0,REPLACE(ClientSFTPLoginNameTest,FIND("@",ClientSFTPLoginNameTest),1,"_at_"),ClientSFTPLoginNameTest),"_",ClientSFTPDNSOrIPTest),64-(8+LEN(_xlfn.CONCAT("_",ClientSFTPPortTest,"_",IF(NOT(ISBLANK(ClientSFTPMessageType1)),_xlfn.CONCAT(ClientSFTPMessageType1,"_"),""),"pf")))),"_",ClientSFTPPortTest,"_",IF(NOT(ISBLANK(ClientSFTPMessageType1)),_xlfn.CONCAT(ClientSFTPMessageType1,"_"),""),"pf"),"")</f>
        <v/>
      </c>
      <c r="H22"/>
    </row>
    <row r="23" spans="1:8" x14ac:dyDescent="0.25">
      <c r="A23" s="191"/>
      <c r="B23" s="183"/>
      <c r="C23" s="147" t="s">
        <v>419</v>
      </c>
      <c r="D23" s="30" t="str">
        <f>IF(AND(NOT(ISBLANK(ClientSFTPPartnerInCamelNotation)),NOT(ISBLANK(ClientSFTPLoginName)),NOT(ISBLANK(ClientSFTPDNSOrIP)),NOT(ISBLANK(ClientSFTPPort))),ClientSFTPDNSOrIP,"")</f>
        <v/>
      </c>
      <c r="E23" s="30" t="str">
        <f>IF(AND(NOT(ISBLANK(ClientSFTPPartnerInCamelNotation)),NOT(ISBLANK(ClientSFTPLoginNameTest)),NOT(ISBLANK(ClientSFTPDNSOrIPTest)),NOT(ISBLANK(ClientSFTPPortTest))),ClientSFTPDNSOrIPTest,"")</f>
        <v/>
      </c>
      <c r="H23"/>
    </row>
    <row r="24" spans="1:8" x14ac:dyDescent="0.25">
      <c r="A24" s="191"/>
      <c r="B24" s="183"/>
      <c r="C24" s="147" t="s">
        <v>420</v>
      </c>
      <c r="D24" s="30" t="str">
        <f>IF(AND(NOT(ISBLANK(ClientSFTPPartnerInCamelNotation)),NOT(ISBLANK(ClientSFTPLoginName)),NOT(ISBLANK(ClientSFTPDNSOrIP)),NOT(ISBLANK(ClientSFTPPort))),ClientSFTPPort,"")</f>
        <v/>
      </c>
      <c r="E24" s="30" t="str">
        <f>IF(AND(NOT(ISBLANK(ClientSFTPPartnerInCamelNotation)),NOT(ISBLANK(ClientSFTPLoginNameTest)),NOT(ISBLANK(ClientSFTPDNSOrIPTest)),NOT(ISBLANK(ClientSFTPPortTest))),ClientSFTPPortTest,"")</f>
        <v/>
      </c>
      <c r="H24"/>
    </row>
    <row r="25" spans="1:8" x14ac:dyDescent="0.25">
      <c r="A25" s="191"/>
      <c r="B25" s="183"/>
      <c r="C25" s="147" t="s">
        <v>421</v>
      </c>
      <c r="D25" s="30" t="str">
        <f>IF(AND(NOT(ISBLANK(ClientSFTPPartnerInCamelNotation)),NOT(ISBLANK(ClientSFTPLoginName)),NOT(ISBLANK(ClientSFTPDNSOrIP)),NOT(ISBLANK(ClientSFTPPort))),CONCATENATE("SSH_",ClientSFTPDNSOrIP,"_",ClientSFTPPort,"_",ClientSFTPPartnerInCamelNotation,"_khk"),"")</f>
        <v/>
      </c>
      <c r="E25" s="30" t="str">
        <f>IF(AND(NOT(ISBLANK(ClientSFTPPartnerInCamelNotation)),NOT(ISBLANK(ClientSFTPLoginNameTest)),NOT(ISBLANK(ClientSFTPDNSOrIPTest)),NOT(ISBLANK(ClientSFTPPortTest))),CONCATENATE("SSH_",ClientSFTPDNSOrIPTest,"_",ClientSFTPPortTest,"_",ClientSFTPPartnerInCamelNotation,"_khk"),"")</f>
        <v/>
      </c>
      <c r="H25"/>
    </row>
    <row r="26" spans="1:8" x14ac:dyDescent="0.25">
      <c r="A26" s="191"/>
      <c r="B26" s="183"/>
      <c r="C26" s="147" t="s">
        <v>422</v>
      </c>
      <c r="D26" s="30" t="str">
        <f>IF(AND(NOT(ISBLANK(ClientSFTPPartnerInCamelNotation)),NOT(ISBLANK(ClientSFTPLoginName)),NOT(ISBLANK(ClientSFTPDNSOrIP)),NOT(ISBLANK(ClientSFTPPort))),ClientSFTPLoginName,"")</f>
        <v/>
      </c>
      <c r="E26" s="30" t="str">
        <f>IF(AND(NOT(ISBLANK(ClientSFTPPartnerInCamelNotation)),NOT(ISBLANK(ClientSFTPLoginNameTest)),NOT(ISBLANK(ClientSFTPDNSOrIPTest)),NOT(ISBLANK(ClientSFTPPortTest))),ClientSFTPLoginNameTest,"")</f>
        <v/>
      </c>
      <c r="H26"/>
    </row>
    <row r="27" spans="1:8" x14ac:dyDescent="0.25">
      <c r="A27" s="191"/>
      <c r="B27" s="183"/>
      <c r="C27" s="147" t="s">
        <v>423</v>
      </c>
      <c r="D27" s="30" t="str">
        <f>IF(AND(NOT(ISBLANK(ClientSFTPPartnerInCamelNotation)),NOT(ISBLANK(ClientSFTPLoginName)),NOT(ISBLANK(ClientSFTPDNSOrIP)),NOT(ISBLANK(ClientSFTPPort))),"Public Key","")</f>
        <v/>
      </c>
      <c r="E27" s="30" t="str">
        <f>IF(AND(NOT(ISBLANK(ClientSFTPPartnerInCamelNotation)),NOT(ISBLANK(ClientSFTPLoginNameTest)),NOT(ISBLANK(ClientSFTPDNSOrIPTest)),NOT(ISBLANK(ClientSFTPPortTest))),"Public Key","")</f>
        <v/>
      </c>
      <c r="H27"/>
    </row>
    <row r="28" spans="1:8" ht="30" customHeight="1" x14ac:dyDescent="0.25">
      <c r="A28" s="191"/>
      <c r="B28" s="183"/>
      <c r="C28" s="147" t="s">
        <v>424</v>
      </c>
      <c r="D28" s="34" t="str">
        <f>IF(AND(NOT(ISBLANK(ClientSFTPPartnerInCamelNotation)),NOT(ISBLANK(ClientSFTPLoginName)),NOT(ISBLANK(ClientSFTPDNSOrIP)),NOT(ISBLANK(ClientSFTPPort))),_xlfn.CONCAT("&lt;Leave Empty&gt; (If password required, add entry on Confluence page:",CHAR(10),"SFTP with Password Authentication - Client)"),"")</f>
        <v/>
      </c>
      <c r="E28" s="34" t="str">
        <f>IF(AND(NOT(ISBLANK(ClientSFTPPartnerInCamelNotation)),NOT(ISBLANK(ClientSFTPLoginNameTest)),NOT(ISBLANK(ClientSFTPDNSOrIPTest)),NOT(ISBLANK(ClientSFTPPortTest))),_xlfn.CONCAT("&lt;Leave Empty&gt; (If password required, add entry on Confluence page:",CHAR(10),"SFTP with Password Authentication - Client)"),"")</f>
        <v/>
      </c>
      <c r="H28"/>
    </row>
    <row r="29" spans="1:8" x14ac:dyDescent="0.25">
      <c r="A29" s="191"/>
      <c r="B29" s="183"/>
      <c r="C29" s="147" t="s">
        <v>425</v>
      </c>
      <c r="D29" s="30" t="str">
        <f>IF(AND(NOT(ISBLANK(ClientSFTPPartnerInCamelNotation)),NOT(ISBLANK(ClientSFTPLoginName)),NOT(ISBLANK(ClientSFTPDNSOrIP)),NOT(ISBLANK(ClientSFTPPort))),CONCATENATE("SSH_",ClientSFTPDNSOrIP,"_",ClientSFTPPort,"_",ClientSFTPPartnerInCamelNotation,"_uik"),"")</f>
        <v/>
      </c>
      <c r="E29" s="30" t="str">
        <f>IF(AND(NOT(ISBLANK(ClientSFTPPartnerInCamelNotation)),NOT(ISBLANK(ClientSFTPLoginNameTest)),NOT(ISBLANK(ClientSFTPDNSOrIPTest)),NOT(ISBLANK(ClientSFTPPortTest))),CONCATENATE("SSH_",ClientSFTPDNSOrIPTest,"_",ClientSFTPPortTest,"_",ClientSFTPPartnerInCamelNotation,"_uik"),"")</f>
        <v/>
      </c>
      <c r="H29"/>
    </row>
    <row r="30" spans="1:8" x14ac:dyDescent="0.25">
      <c r="A30" s="191"/>
      <c r="B30" s="183"/>
      <c r="C30" s="147" t="s">
        <v>394</v>
      </c>
      <c r="D30" s="34" t="str">
        <f>IF(AND(NOT(ISBLANK(ClientSFTPPartnerInCamelNotation)),NOT(ISBLANK(ClientSFTPLoginName)),NOT(ISBLANK(ClientSFTPDNSOrIP)),NOT(ISBLANK(ClientSFTPPort))),"&lt;Leave Empty&gt;","")</f>
        <v/>
      </c>
      <c r="E30" s="34" t="str">
        <f>IF(AND(NOT(ISBLANK(ClientSFTPPartnerInCamelNotation)),NOT(ISBLANK(ClientSFTPLoginNameTest)),NOT(ISBLANK(ClientSFTPDNSOrIPTest)),NOT(ISBLANK(ClientSFTPPortTest))),"&lt;Leave Empty&gt;","")</f>
        <v/>
      </c>
      <c r="H30"/>
    </row>
    <row r="31" spans="1:8" x14ac:dyDescent="0.25">
      <c r="A31" s="191"/>
      <c r="B31" s="183"/>
      <c r="C31" s="147" t="s">
        <v>426</v>
      </c>
      <c r="D31" s="30" t="str">
        <f>IF(AND(NOT(ISBLANK(ClientSFTPPartnerInCamelNotation)),NOT(ISBLANK(ClientSFTPLoginName)),NOT(ISBLANK(ClientSFTPDNSOrIP)),NOT(ISBLANK(ClientSFTPPort))),"None","")</f>
        <v/>
      </c>
      <c r="E31" s="30" t="str">
        <f>IF(AND(NOT(ISBLANK(ClientSFTPPartnerInCamelNotation)),NOT(ISBLANK(ClientSFTPLoginNameTest)),NOT(ISBLANK(ClientSFTPDNSOrIPTest)),NOT(ISBLANK(ClientSFTPPortTest))),"None","")</f>
        <v/>
      </c>
      <c r="H31"/>
    </row>
    <row r="32" spans="1:8" x14ac:dyDescent="0.25">
      <c r="A32" s="191"/>
      <c r="B32" s="183"/>
      <c r="C32" s="147" t="s">
        <v>427</v>
      </c>
      <c r="D32" s="34" t="str">
        <f>IF(AND(NOT(ISBLANK(ClientSFTPPartnerInCamelNotation)),NOT(ISBLANK(ClientSFTPLoginName)),NOT(ISBLANK(ClientSFTPDNSOrIP)),NOT(ISBLANK(ClientSFTPPort))),"&lt;Leave Empty&gt;","")</f>
        <v/>
      </c>
      <c r="E32" s="34" t="str">
        <f>IF(AND(NOT(ISBLANK(ClientSFTPPartnerInCamelNotation)),NOT(ISBLANK(ClientSFTPLoginNameTest)),NOT(ISBLANK(ClientSFTPDNSOrIPTest)),NOT(ISBLANK(ClientSFTPPortTest))),"&lt;Leave Empty&gt;","")</f>
        <v/>
      </c>
      <c r="H32"/>
    </row>
    <row r="33" spans="1:8" x14ac:dyDescent="0.25">
      <c r="A33" s="191"/>
      <c r="B33" s="183"/>
      <c r="C33" s="147" t="s">
        <v>428</v>
      </c>
      <c r="D33" s="34" t="str">
        <f>IF(AND(NOT(ISBLANK(ClientSFTPPartnerInCamelNotation)),NOT(ISBLANK(ClientSFTPLoginName)),NOT(ISBLANK(ClientSFTPDNSOrIP)),NOT(ISBLANK(ClientSFTPPort))),"&lt;Leave Empty&gt;","")</f>
        <v/>
      </c>
      <c r="E33" s="34" t="str">
        <f>IF(AND(NOT(ISBLANK(ClientSFTPPartnerInCamelNotation)),NOT(ISBLANK(ClientSFTPLoginNameTest)),NOT(ISBLANK(ClientSFTPDNSOrIPTest)),NOT(ISBLANK(ClientSFTPPortTest))),"&lt;Leave Empty&gt;","")</f>
        <v/>
      </c>
      <c r="H33"/>
    </row>
    <row r="34" spans="1:8" x14ac:dyDescent="0.25">
      <c r="A34" s="191"/>
      <c r="B34" s="183"/>
      <c r="C34" s="147" t="s">
        <v>429</v>
      </c>
      <c r="D34" s="34" t="str">
        <f>IF(AND(NOT(ISBLANK(ClientSFTPPartnerInCamelNotation)),NOT(ISBLANK(ClientSFTPLoginName)),NOT(ISBLANK(ClientSFTPDNSOrIP)),NOT(ISBLANK(ClientSFTPPort))),"&lt;Leave Empty&gt;","")</f>
        <v/>
      </c>
      <c r="E34" s="34" t="str">
        <f>IF(AND(NOT(ISBLANK(ClientSFTPPartnerInCamelNotation)),NOT(ISBLANK(ClientSFTPLoginNameTest)),NOT(ISBLANK(ClientSFTPDNSOrIPTest)),NOT(ISBLANK(ClientSFTPPortTest))),"&lt;Leave Empty&gt;","")</f>
        <v/>
      </c>
      <c r="H34"/>
    </row>
    <row r="35" spans="1:8" x14ac:dyDescent="0.25">
      <c r="A35" s="191"/>
      <c r="B35" s="183"/>
      <c r="C35" s="147" t="s">
        <v>430</v>
      </c>
      <c r="D35" s="30" t="str">
        <f>IF(AND(NOT(ISBLANK(ClientSFTPPartnerInCamelNotation)),NOT(ISBLANK(ClientSFTPLoginName)),NOT(ISBLANK(ClientSFTPDNSOrIP)),NOT(ISBLANK(ClientSFTPPort))),"aes256-ctr","")</f>
        <v/>
      </c>
      <c r="E35" s="30" t="str">
        <f>IF(AND(NOT(ISBLANK(ClientSFTPPartnerInCamelNotation)),NOT(ISBLANK(ClientSFTPLoginNameTest)),NOT(ISBLANK(ClientSFTPDNSOrIPTest)),NOT(ISBLANK(ClientSFTPPortTest))),"aes256-ctr","")</f>
        <v/>
      </c>
      <c r="H35"/>
    </row>
    <row r="36" spans="1:8" x14ac:dyDescent="0.25">
      <c r="A36" s="191"/>
      <c r="B36" s="183"/>
      <c r="C36" s="147" t="s">
        <v>431</v>
      </c>
      <c r="D36" s="30" t="str">
        <f>IF(AND(NOT(ISBLANK(ClientSFTPPartnerInCamelNotation)),NOT(ISBLANK(ClientSFTPLoginName)),NOT(ISBLANK(ClientSFTPDNSOrIP)),NOT(ISBLANK(ClientSFTPPort))),"hmac-sha1","")</f>
        <v/>
      </c>
      <c r="E36" s="30" t="str">
        <f>IF(AND(NOT(ISBLANK(ClientSFTPPartnerInCamelNotation)),NOT(ISBLANK(ClientSFTPLoginNameTest)),NOT(ISBLANK(ClientSFTPDNSOrIPTest)),NOT(ISBLANK(ClientSFTPPortTest))),"hmac-sha1","")</f>
        <v/>
      </c>
      <c r="H36"/>
    </row>
    <row r="37" spans="1:8" x14ac:dyDescent="0.25">
      <c r="A37" s="192"/>
      <c r="B37" s="184"/>
      <c r="C37" s="147" t="s">
        <v>432</v>
      </c>
      <c r="D37" s="34" t="str">
        <f>IF(AND(NOT(ISBLANK(ClientSFTPPartnerInCamelNotation)),NOT(ISBLANK(ClientSFTPLoginName)),NOT(ISBLANK(ClientSFTPDNSOrIP)),NOT(ISBLANK(ClientSFTPPort))),"&lt;Leave Empty&gt;","")</f>
        <v/>
      </c>
      <c r="E37" s="34" t="str">
        <f>IF(AND(NOT(ISBLANK(ClientSFTPPartnerInCamelNotation)),NOT(ISBLANK(ClientSFTPLoginNameTest)),NOT(ISBLANK(ClientSFTPDNSOrIPTest)),NOT(ISBLANK(ClientSFTPPortTest))),"&lt;Leave Empty&gt;","")</f>
        <v/>
      </c>
      <c r="H37"/>
    </row>
    <row r="38" spans="1:8" x14ac:dyDescent="0.25">
      <c r="H38"/>
    </row>
    <row r="41" spans="1:8" x14ac:dyDescent="0.25">
      <c r="A41" s="79" t="s">
        <v>397</v>
      </c>
    </row>
    <row r="43" spans="1:8" x14ac:dyDescent="0.25">
      <c r="A43" s="26" t="s">
        <v>417</v>
      </c>
      <c r="B43" s="83">
        <v>1</v>
      </c>
    </row>
    <row r="45" spans="1:8" x14ac:dyDescent="0.25">
      <c r="A45" s="35" t="s">
        <v>67</v>
      </c>
      <c r="B45" s="23" t="s">
        <v>68</v>
      </c>
      <c r="C45" s="35" t="s">
        <v>59</v>
      </c>
      <c r="D45" s="33" t="s">
        <v>438</v>
      </c>
      <c r="E45" s="33" t="s">
        <v>437</v>
      </c>
    </row>
    <row r="46" spans="1:8" x14ac:dyDescent="0.25">
      <c r="A46" s="188">
        <v>1</v>
      </c>
      <c r="B46" s="24" t="s">
        <v>398</v>
      </c>
      <c r="C46" s="175" t="s">
        <v>69</v>
      </c>
      <c r="D46" s="30" t="str">
        <f>IF(AND(NOT(ISBLANK(ClientSFTPPartnerInCamelNotation)),NOT(ISBLANK(ClientSFTPLoginName)),NOT(ISBLANK(ClientSFTPDNSOrIP)),NOT(ISBLANK(ClientSFTPPort))),_xlfn.CONCAT("DSV_BP_SFTPGET_",IF(IFERROR(FIND("@",ClientSFTPLoginName),0)&gt;0,REPLACE(ClientSFTPLoginName,FIND("@",ClientSFTPLoginName),1,"_at_"),ClientSFTPLoginName),"_",ClientSFTPDNSOrIP,"_",ClientSFTPPort,"_bp"),"")</f>
        <v/>
      </c>
      <c r="E46" s="30" t="str">
        <f>IF(AND(NOT(ISBLANK(ClientSFTPPartnerInCamelNotation)),NOT(ISBLANK(ClientSFTPLoginNameTest)),NOT(ISBLANK(ClientSFTPDNSOrIPTest)),NOT(ISBLANK(ClientSFTPPortTest))),_xlfn.CONCAT("DSV_BP_SFTPGET_",IF(IFERROR(FIND("@",ClientSFTPLoginNameTest),0)&gt;0,REPLACE(ClientSFTPLoginNameTest,FIND("@",ClientSFTPLoginNameTest),1,"_at_"),ClientSFTPLoginNameTest),"_",ClientSFTPDNSOrIPTest,"_",ClientSFTPPortTest,"_bp"),"")</f>
        <v/>
      </c>
    </row>
    <row r="47" spans="1:8" ht="30" x14ac:dyDescent="0.25">
      <c r="A47" s="189"/>
      <c r="B47" s="24"/>
      <c r="C47" s="175" t="s">
        <v>399</v>
      </c>
      <c r="D47" s="30" t="str">
        <f>IF(AND(NOT(ISBLANK(ClientSFTPPartnerInCamelNotation)),NOT(ISBLANK(ClientSFTPLoginName)),NOT(ISBLANK(ClientSFTPDNSOrIP)),NOT(ISBLANK(ClientSFTPPort))),"Business Process Text Editor","")</f>
        <v/>
      </c>
    </row>
    <row r="48" spans="1:8" x14ac:dyDescent="0.25">
      <c r="A48" s="188">
        <v>2</v>
      </c>
      <c r="B48" s="24" t="s">
        <v>400</v>
      </c>
      <c r="C48" s="175" t="s">
        <v>81</v>
      </c>
      <c r="D48" s="30" t="str">
        <f>IF(AND(NOT(ISBLANK(ClientSFTPPartnerInCamelNotation)),NOT(ISBLANK(ClientSFTPLoginName)),NOT(ISBLANK(ClientSFTPDNSOrIP)),NOT(ISBLANK(ClientSFTPPort))),_xlfn.CONCAT("v",ClientSFTPBPVersion1," - ",RITMNumber," - SFTP to ",IF(IFERROR(FIND("@",ClientSFTPLoginName),0)&gt;0,REPLACE(ClientSFTPLoginName,FIND("@",ClientSFTPLoginName),1,"_at_"),ClientSFTPLoginName),"@",ClientSFTPDNSOrIP,"_",ClientSFTPPort),"")</f>
        <v/>
      </c>
      <c r="E48" s="30" t="str">
        <f>IF(AND(NOT(ISBLANK(ClientSFTPPartnerInCamelNotation)),NOT(ISBLANK(ClientSFTPLoginNameTest)),NOT(ISBLANK(ClientSFTPDNSOrIPTest)),NOT(ISBLANK(ClientSFTPPortTest))),_xlfn.CONCAT("v",ClientSFTPBPVersion1," - ",RITMNumber," - SFTP to ",IF(IFERROR(FIND("@",ClientSFTPLoginNameTest),0)&gt;0,REPLACE(ClientSFTPLoginNameTest,FIND("@",ClientSFTPLoginNameTest),1,"_at_"),ClientSFTPLoginNameTest),"@",ClientSFTPDNSOrIPTest,"_",ClientSFTPPortTest),"")</f>
        <v/>
      </c>
    </row>
    <row r="49" spans="1:5" ht="91.5" customHeight="1" x14ac:dyDescent="0.25">
      <c r="A49" s="189"/>
      <c r="B49" s="24"/>
      <c r="C49" s="175" t="s">
        <v>124</v>
      </c>
      <c r="D49" s="30" t="str">
        <f>IF(AND(NOT(ISBLANK(ClientSFTPPartnerInCamelNotation)),NOT(ISBLANK(ClientSFTPLoginName)),NOT(ISBLANK(ClientSFTPDNSOrIP)),NOT(ISBLANK(ClientSFTPPort))),CONCATENATE("&lt;?xml version="&amp;CHAR(34)&amp;"1.0"&amp;CHAR(34)&amp;" encoding="&amp;CHAR(34)&amp;"UTF-8"&amp;CHAR(34)&amp;"?&gt;",CHAR(10),"&lt;process name="&amp;CHAR(34),ClientSFTPBPName1,CHAR(34),"&gt;",CHAR(10),CHAR(9),"&lt;sequence name="&amp;CHAR(34)&amp;"Main"&amp;CHAR(34)&amp;"&gt;",CHAR(10),CHAR(9),CHAR(9),"&lt;operation name=",CHAR(34),"Invoke SFTP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from=",CHAR(34),"'LW_BP_SFTPGET'",CHAR(34),"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c r="E49" s="30" t="str">
        <f>IF(AND(NOT(ISBLANK(ClientSFTPPartnerInCamelNotation)),NOT(ISBLANK(ClientSFTPLoginNameTest)),NOT(ISBLANK(ClientSFTPDNSOrIPTest)),NOT(ISBLANK(ClientSFTPPortTest))),CONCATENATE("&lt;?xml version="&amp;CHAR(34)&amp;"1.0"&amp;CHAR(34)&amp;" encoding="&amp;CHAR(34)&amp;"UTF-8"&amp;CHAR(34)&amp;"?&gt;",CHAR(10),"&lt;process name="&amp;CHAR(34),ClientSFTPBPName1Test,CHAR(34),"&gt;",CHAR(10),CHAR(9),"&lt;sequence name="&amp;CHAR(34)&amp;"Main"&amp;CHAR(34)&amp;"&gt;",CHAR(10),CHAR(9),CHAR(9),"&lt;operation name=",CHAR(34),"Invoke SFTP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from=",CHAR(34),"'LW_BP_SFTPGET'",CHAR(34),"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row>
    <row r="50" spans="1:5" x14ac:dyDescent="0.25">
      <c r="A50" s="26">
        <v>3</v>
      </c>
      <c r="B50" s="24" t="s">
        <v>401</v>
      </c>
      <c r="C50" s="175" t="s">
        <v>402</v>
      </c>
      <c r="D50" s="30" t="str">
        <f>IF(AND(NOT(ISBLANK(ClientSFTPPartnerInCamelNotation)),NOT(ISBLANK(ClientSFTPLoginName)),NOT(ISBLANK(ClientSFTPDNSOrIP)),NOT(ISBLANK(ClientSFTPPort))),"&lt;Leave As Is&gt;","")</f>
        <v/>
      </c>
    </row>
    <row r="54" spans="1:5" x14ac:dyDescent="0.25">
      <c r="A54" s="79" t="s">
        <v>463</v>
      </c>
    </row>
    <row r="55" spans="1:5" x14ac:dyDescent="0.25">
      <c r="A55" s="35" t="s">
        <v>67</v>
      </c>
      <c r="B55" s="23" t="s">
        <v>68</v>
      </c>
      <c r="C55" s="35" t="s">
        <v>59</v>
      </c>
      <c r="D55" s="33" t="s">
        <v>438</v>
      </c>
      <c r="E55" s="33" t="s">
        <v>437</v>
      </c>
    </row>
    <row r="56" spans="1:5" x14ac:dyDescent="0.25">
      <c r="A56" s="190">
        <v>1</v>
      </c>
      <c r="B56" s="182" t="s">
        <v>403</v>
      </c>
      <c r="C56" s="175" t="s">
        <v>404</v>
      </c>
      <c r="D56" s="30" t="str">
        <f>ClientSFTPBPName1</f>
        <v/>
      </c>
      <c r="E56" s="30" t="str">
        <f>ClientSFTPBPName1Test</f>
        <v/>
      </c>
    </row>
    <row r="57" spans="1:5" x14ac:dyDescent="0.25">
      <c r="A57" s="191"/>
      <c r="B57" s="184"/>
      <c r="C57" s="175" t="s">
        <v>384</v>
      </c>
      <c r="D57" s="30" t="str">
        <f>ClientSFTPProfileName1</f>
        <v/>
      </c>
      <c r="E57" s="30" t="str">
        <f>ClientSFTPProfileName1Test</f>
        <v/>
      </c>
    </row>
    <row r="58" spans="1:5" x14ac:dyDescent="0.25">
      <c r="A58" s="191"/>
      <c r="B58" s="182" t="s">
        <v>405</v>
      </c>
      <c r="C58" s="175" t="s">
        <v>406</v>
      </c>
      <c r="D58" s="107" t="str">
        <f>IF(AND(NOT(ISBLANK(ClientSFTPPartnerInCamelNotation)),NOT(ISBLANK(ClientSFTPLoginName)),NOT(ISBLANK(ClientSFTPDNSOrIP)),NOT(ISBLANK(ClientSFTPPort))),"&lt;Leave Empty&gt;","")</f>
        <v/>
      </c>
    </row>
    <row r="59" spans="1:5" ht="31.7" customHeight="1" x14ac:dyDescent="0.25">
      <c r="A59" s="191"/>
      <c r="B59" s="183"/>
      <c r="C59" s="176" t="s">
        <v>407</v>
      </c>
      <c r="D59" s="26" t="str">
        <f>IF(AND(NOT(ISBLANK(ClientSFTPPartnerInCamelNotation)),NOT(ISBLANK(ClientSFTPLoginName)),NOT(ISBLANK(ClientSFTPDNSOrIP)),NOT(ISBLANK(ClientSFTPPort))),"&lt;Full path to download folder&gt; (Comma separated list in case of multiple folders)","")</f>
        <v/>
      </c>
      <c r="E59" s="26" t="str">
        <f>IF(AND(NOT(ISBLANK(ClientSFTPPartnerInCamelNotation)),NOT(ISBLANK(ClientSFTPLoginNameTest)),NOT(ISBLANK(ClientSFTPDNSOrIPTest)),NOT(ISBLANK(ClientSFTPPortTest))),"&lt;Full path to download folder&gt; (Comma separated list in case of multiple folders)","")</f>
        <v/>
      </c>
    </row>
    <row r="60" spans="1:5" ht="30" customHeight="1" x14ac:dyDescent="0.25">
      <c r="A60" s="191"/>
      <c r="B60" s="183"/>
      <c r="C60" s="176" t="s">
        <v>408</v>
      </c>
      <c r="D60" s="26" t="str">
        <f>IF(AND(NOT(ISBLANK(ClientSFTPPartnerInCamelNotation)),NOT(ISBLANK(ClientSFTPLoginName)),NOT(ISBLANK(ClientSFTPDNSOrIP)),NOT(ISBLANK(ClientSFTPPort))),"&lt;Filename masks of files to download&gt; (Comma separated list in case of multiple filename masks)","")</f>
        <v/>
      </c>
      <c r="E60" s="26" t="str">
        <f>IF(AND(NOT(ISBLANK(ClientSFTPPartnerInCamelNotation)),NOT(ISBLANK(ClientSFTPLoginNameTest)),NOT(ISBLANK(ClientSFTPDNSOrIPTest)),NOT(ISBLANK(ClientSFTPPortTest))),"&lt;Filename masks of files to download&gt; (Comma separated list in case of multiple filename masks)","")</f>
        <v/>
      </c>
    </row>
    <row r="61" spans="1:5" ht="30" customHeight="1" x14ac:dyDescent="0.25">
      <c r="A61" s="191"/>
      <c r="B61" s="183"/>
      <c r="C61" s="175" t="s">
        <v>409</v>
      </c>
      <c r="D61" s="108" t="str">
        <f>IF(AND(NOT(ISBLANK(ClientSFTPPartnerInCamelNotation)),NOT(ISBLANK(ClientSFTPLoginName)),NOT(ISBLANK(ClientSFTPDNSOrIP)),NOT(ISBLANK(ClientSFTPPort))),CONCATENATE("Y (If file should be deleted after download)",CHAR(10),"N (If file should not be deleted after download)"),"")</f>
        <v/>
      </c>
    </row>
    <row r="62" spans="1:5" ht="30" customHeight="1" x14ac:dyDescent="0.25">
      <c r="A62" s="191"/>
      <c r="B62" s="183"/>
      <c r="C62" s="176" t="s">
        <v>410</v>
      </c>
      <c r="D62" s="26" t="str">
        <f>IF(AND(NOT(ISBLANK(ClientSFTPPartnerInCamelNotation)),NOT(ISBLANK(ClientSFTPLoginName)),NOT(ISBLANK(ClientSFTPDNSOrIP)),NOT(ISBLANK(ClientSFTPPort))),"&lt;Full path to history folder on FTP Server to move file to after download&gt; (Leave empty if no history folder)","")</f>
        <v/>
      </c>
      <c r="E62" s="26" t="str">
        <f>IF(AND(NOT(ISBLANK(ClientSFTPPartnerInCamelNotation)),NOT(ISBLANK(ClientSFTPLoginNameTest)),NOT(ISBLANK(ClientSFTPDNSOrIPTest)),NOT(ISBLANK(ClientSFTPPortTest))),"&lt;Full path to history folder on FTP Server to move file to after download&gt; (Leave empty if no history folder)","")</f>
        <v/>
      </c>
    </row>
    <row r="63" spans="1:5" ht="29.25" customHeight="1" x14ac:dyDescent="0.25">
      <c r="A63" s="191"/>
      <c r="B63" s="183"/>
      <c r="C63" s="175" t="s">
        <v>411</v>
      </c>
      <c r="D63" s="109" t="str">
        <f>IF(AND(NOT(ISBLANK(ClientSFTPPartnerInCamelNotation)),NOT(ISBLANK(ClientSFTPLoginName)),NOT(ISBLANK(ClientSFTPDNSOrIP)),NOT(ISBLANK(ClientSFTPPort))),CONCATENATE("&lt;Leave Empty&gt; (Preferred)",CHAR(10),"ASCII (If required by partner)"),"")</f>
        <v/>
      </c>
    </row>
    <row r="64" spans="1:5" x14ac:dyDescent="0.25">
      <c r="A64" s="192"/>
      <c r="B64" s="184"/>
      <c r="C64" s="175" t="s">
        <v>412</v>
      </c>
      <c r="D64" s="30" t="str">
        <f>IF(AND(NOT(ISBLANK(ClientSFTPPartnerInCamelNotation)),NOT(ISBLANK(ClientSFTPLoginName)),NOT(ISBLANK(ClientSFTPDNSOrIP)),NOT(ISBLANK(ClientSFTPPort)),NOT(ISBLANK(Platform))),IF(Platform="EBIP","DSV_SA_SFTP_CNX_GROUP_cf",IF(AND(ClientSFTPServerInsideDSVNetwork1="Yes",ClientSFTPServerInsideDSVNetworkQuestion1="Is SFTP server inside DSV network?"),"DSV_SA_SFTP_CNXLOCAL_GROUP_cf","DSV_SA_SFTP_CNXPX_GROUP_cf")),"")</f>
        <v/>
      </c>
    </row>
    <row r="68" spans="1:5" x14ac:dyDescent="0.25">
      <c r="A68" s="84" t="s">
        <v>413</v>
      </c>
    </row>
    <row r="69" spans="1:5" x14ac:dyDescent="0.25">
      <c r="A69" s="35" t="s">
        <v>67</v>
      </c>
      <c r="B69" s="23" t="s">
        <v>68</v>
      </c>
      <c r="C69" s="35" t="s">
        <v>59</v>
      </c>
      <c r="D69" s="33" t="s">
        <v>438</v>
      </c>
      <c r="E69" s="33" t="s">
        <v>437</v>
      </c>
    </row>
    <row r="70" spans="1:5" x14ac:dyDescent="0.25">
      <c r="A70" s="190">
        <v>1</v>
      </c>
      <c r="B70" s="182" t="s">
        <v>286</v>
      </c>
      <c r="C70" s="175" t="s">
        <v>276</v>
      </c>
      <c r="D70" s="30" t="str">
        <f>IF(AND(NOT(ISBLANK(ClientSFTPPartnerInCamelNotation)),NOT(ISBLANK(ClientSFTPLoginName)),NOT(ISBLANK(ClientSFTPDNSOrIP)),NOT(ISBLANK(ClientSFTPPort))),"admin","")</f>
        <v/>
      </c>
    </row>
    <row r="71" spans="1:5" x14ac:dyDescent="0.25">
      <c r="A71" s="191"/>
      <c r="B71" s="183"/>
      <c r="C71" s="147" t="s">
        <v>277</v>
      </c>
      <c r="D71" s="34" t="str">
        <f>IF(AND(NOT(ISBLANK(ClientSFTPPartnerInCamelNotation)),NOT(ISBLANK(ClientSFTPLoginName)),NOT(ISBLANK(ClientSFTPDNSOrIP)),NOT(ISBLANK(ClientSFTPPort))),"&lt;Unchecked&gt;","")</f>
        <v/>
      </c>
    </row>
    <row r="72" spans="1:5" x14ac:dyDescent="0.25">
      <c r="A72" s="192"/>
      <c r="B72" s="184"/>
      <c r="C72" s="147" t="s">
        <v>278</v>
      </c>
      <c r="D72" s="30" t="str">
        <f>IF(AND(NOT(ISBLANK(ClientSFTPPartnerInCamelNotation)),NOT(ISBLANK(ClientSFTPLoginName)),NOT(ISBLANK(ClientSFTPDNSOrIP)),NOT(ISBLANK(ClientSFTPPort))),"Run based on timer","")</f>
        <v/>
      </c>
    </row>
    <row r="73" spans="1:5" x14ac:dyDescent="0.25">
      <c r="A73" s="85">
        <v>2</v>
      </c>
      <c r="B73" s="54" t="s">
        <v>287</v>
      </c>
      <c r="C73" s="175"/>
      <c r="D73" s="34" t="str">
        <f>IF(AND(NOT(ISBLANK(ClientSFTPPartnerInCamelNotation)),NOT(ISBLANK(ClientSFTPLoginName)),NOT(ISBLANK(ClientSFTPDNSOrIP)),NOT(ISBLANK(ClientSFTPPort))),"&lt;Interval agreed with remote party&gt;","")</f>
        <v/>
      </c>
    </row>
    <row r="74" spans="1:5" ht="30" customHeight="1" x14ac:dyDescent="0.25">
      <c r="A74" s="190">
        <v>3</v>
      </c>
      <c r="B74" s="54" t="s">
        <v>288</v>
      </c>
      <c r="C74" s="175"/>
      <c r="D74" s="34" t="str">
        <f>IF(AND(NOT(ISBLANK(ClientSFTPPartnerInCamelNotation)),NOT(ISBLANK(ClientSFTPLoginName)),NOT(ISBLANK(ClientSFTPDNSOrIP)),NOT(ISBLANK(ClientSFTPPort))),CONCATENATE("&lt;Leave Empty&gt; (Preferred)",CHAR(10),"&lt;Exclusion time if required by partner&gt;"),"")</f>
        <v/>
      </c>
    </row>
    <row r="75" spans="1:5" ht="30.75" customHeight="1" x14ac:dyDescent="0.25">
      <c r="A75" s="191"/>
      <c r="B75" s="54" t="s">
        <v>414</v>
      </c>
      <c r="C75" s="175"/>
      <c r="D75" s="34" t="str">
        <f>IF(AND(NOT(ISBLANK(ClientSFTPPartnerInCamelNotation)),NOT(ISBLANK(ClientSFTPLoginName)),NOT(ISBLANK(ClientSFTPDNSOrIP)),NOT(ISBLANK(ClientSFTPPort))),CONCATENATE("&lt;Leave Empty&gt; (Preferred)",CHAR(10),"&lt;Exclusion date if required by partner&gt;"),"")</f>
        <v/>
      </c>
    </row>
    <row r="76" spans="1:5" x14ac:dyDescent="0.25">
      <c r="A76" s="191"/>
      <c r="B76" s="182" t="s">
        <v>415</v>
      </c>
      <c r="C76" s="175" t="s">
        <v>124</v>
      </c>
      <c r="D76" s="30" t="str">
        <f>ClientSFTPBPName1</f>
        <v/>
      </c>
      <c r="E76" s="30" t="str">
        <f>ClientSFTPBPName1Test</f>
        <v/>
      </c>
    </row>
    <row r="77" spans="1:5" x14ac:dyDescent="0.25">
      <c r="A77" s="192"/>
      <c r="B77" s="184"/>
      <c r="C77" s="175" t="s">
        <v>416</v>
      </c>
      <c r="D77" s="34" t="str">
        <f>IF(AND(NOT(ISBLANK(ClientSFTPPartnerInCamelNotation)),NOT(ISBLANK(ClientSFTPLoginName)),NOT(ISBLANK(ClientSFTPDNSOrIP)),NOT(ISBLANK(ClientSFTPPort))),"&lt;Leave Empty&gt;","")</f>
        <v/>
      </c>
    </row>
    <row r="81" spans="1:8" s="81" customFormat="1" x14ac:dyDescent="0.25">
      <c r="A81" s="82" t="s">
        <v>464</v>
      </c>
      <c r="C81" s="82"/>
      <c r="D81" s="92"/>
      <c r="E81" s="92"/>
      <c r="H81" s="82"/>
    </row>
    <row r="83" spans="1:8" x14ac:dyDescent="0.25">
      <c r="A83" s="69"/>
      <c r="B83" s="25"/>
    </row>
    <row r="84" spans="1:8" x14ac:dyDescent="0.25">
      <c r="A84" s="35" t="s">
        <v>390</v>
      </c>
      <c r="B84" s="86"/>
    </row>
    <row r="85" spans="1:8" x14ac:dyDescent="0.25">
      <c r="A85" s="35" t="str">
        <f>IF(AND(NOT(ISBLANK(ClientSFTPLoginName)),NOT(ISBLANK(ClientSFTPDNSOrIP)),NOT(ISBLANK(ClientSFTPPort)),NOT(ISBLANK(ClientSFTPPartnerInCamelNotation)),NOT(ISBLANK(ClientSFTPMessageType2))),IF(ISBLANK(Platform),"Please select the platform in the 'Master data' worksheet.",IF(Platform="Corporate EDI","Is SFTP server inside DSV network?","")),"")</f>
        <v/>
      </c>
      <c r="B85" s="46"/>
    </row>
    <row r="88" spans="1:8" ht="30" x14ac:dyDescent="0.25">
      <c r="A88" s="93" t="s">
        <v>650</v>
      </c>
      <c r="C88"/>
    </row>
    <row r="89" spans="1:8" x14ac:dyDescent="0.25">
      <c r="A89" s="35" t="s">
        <v>67</v>
      </c>
      <c r="B89" s="23" t="s">
        <v>68</v>
      </c>
      <c r="C89" s="23" t="s">
        <v>59</v>
      </c>
      <c r="D89" s="33" t="s">
        <v>438</v>
      </c>
      <c r="E89" s="33" t="s">
        <v>437</v>
      </c>
    </row>
    <row r="90" spans="1:8" x14ac:dyDescent="0.25">
      <c r="A90" s="190">
        <v>1</v>
      </c>
      <c r="B90" s="182" t="s">
        <v>418</v>
      </c>
      <c r="C90" s="147" t="s">
        <v>203</v>
      </c>
      <c r="D90" s="30" t="str">
        <f>IF(AND(NOT(ISBLANK(ClientSFTPPartnerInCamelNotation)),NOT(ISBLANK(ClientSFTPLoginName)),NOT(ISBLANK(ClientSFTPDNSOrIP)),NOT(ISBLANK(ClientSFTPPort)),NOT(ISBLANK(ClientSFTPMessageType2))),_xlfn.CONCAT("DSV_SSH_",LEFT(_xlfn.CONCAT(IF(IFERROR(FIND("@",ClientSFTPLoginName),0)&gt;0,REPLACE(ClientSFTPLoginName,FIND("@",ClientSFTPLoginName),1,"_at_"),ClientSFTPLoginName),"_",ClientSFTPDNSOrIP),64-(8+LEN(_xlfn.CONCAT("_",ClientSFTPPort,"_",IF(NOT(ISBLANK(ClientSFTPMessageType2)),_xlfn.CONCAT(ClientSFTPMessageType2,"_"),""),"pf")))),"_",ClientSFTPPort,"_",IF(NOT(ISBLANK(ClientSFTPMessageType2)),_xlfn.CONCAT(ClientSFTPMessageType2,"_"),""),"pf"),"")</f>
        <v/>
      </c>
      <c r="E90" s="30" t="str">
        <f>IF(AND(NOT(ISBLANK(ClientSFTPPartnerInCamelNotation)),NOT(ISBLANK(ClientSFTPLoginNameTest)),NOT(ISBLANK(ClientSFTPDNSOrIPTest)),NOT(ISBLANK(ClientSFTPPortTest)),NOT(ISBLANK(ClientSFTPMessageType2))),_xlfn.CONCAT("DSV_SSH_",LEFT(_xlfn.CONCAT(IF(IFERROR(FIND("@",ClientSFTPLoginNameTest),0)&gt;0,REPLACE(ClientSFTPLoginNameTest,FIND("@",ClientSFTPLoginNameTest),1,"_at_"),ClientSFTPLoginNameTest),"_",ClientSFTPDNSOrIPTest),64-(8+LEN(_xlfn.CONCAT("_",ClientSFTPPortTest,"_",IF(NOT(ISBLANK(ClientSFTPMessageType2)),_xlfn.CONCAT(ClientSFTPMessageType2,"_"),""),"pf")))),"_",ClientSFTPPortTest,"_",IF(NOT(ISBLANK(ClientSFTPMessageType2)),_xlfn.CONCAT(ClientSFTPMessageType2,"_"),""),"pf"),"")</f>
        <v/>
      </c>
    </row>
    <row r="91" spans="1:8" x14ac:dyDescent="0.25">
      <c r="A91" s="191"/>
      <c r="B91" s="183"/>
      <c r="C91" s="147" t="s">
        <v>419</v>
      </c>
      <c r="D91" s="30" t="str">
        <f>IF(AND(NOT(ISBLANK(ClientSFTPPartnerInCamelNotation)),NOT(ISBLANK(ClientSFTPLoginName)),NOT(ISBLANK(ClientSFTPDNSOrIP)),NOT(ISBLANK(ClientSFTPPort)),NOT(ISBLANK(ClientSFTPMessageType2))),ClientSFTPDNSOrIP,"")</f>
        <v/>
      </c>
      <c r="E91" s="30" t="str">
        <f>IF(AND(NOT(ISBLANK(ClientSFTPPartnerInCamelNotation)),NOT(ISBLANK(ClientSFTPLoginNameTest)),NOT(ISBLANK(ClientSFTPDNSOrIPTest)),NOT(ISBLANK(ClientSFTPPortTest)),NOT(ISBLANK(ClientSFTPMessageType2))),ClientSFTPDNSOrIPTest,"")</f>
        <v/>
      </c>
    </row>
    <row r="92" spans="1:8" x14ac:dyDescent="0.25">
      <c r="A92" s="191"/>
      <c r="B92" s="183"/>
      <c r="C92" s="147" t="s">
        <v>420</v>
      </c>
      <c r="D92" s="30" t="str">
        <f>IF(AND(NOT(ISBLANK(ClientSFTPPartnerInCamelNotation)),NOT(ISBLANK(ClientSFTPLoginName)),NOT(ISBLANK(ClientSFTPDNSOrIP)),NOT(ISBLANK(ClientSFTPPort)),NOT(ISBLANK(ClientSFTPMessageType2))),ClientSFTPPort,"")</f>
        <v/>
      </c>
      <c r="E92" s="30" t="str">
        <f>IF(AND(NOT(ISBLANK(ClientSFTPPartnerInCamelNotation)),NOT(ISBLANK(ClientSFTPLoginNameTest)),NOT(ISBLANK(ClientSFTPDNSOrIPTest)),NOT(ISBLANK(ClientSFTPPortTest)),NOT(ISBLANK(ClientSFTPMessageType2))),ClientSFTPPortTest,"")</f>
        <v/>
      </c>
    </row>
    <row r="93" spans="1:8" x14ac:dyDescent="0.25">
      <c r="A93" s="191"/>
      <c r="B93" s="183"/>
      <c r="C93" s="147" t="s">
        <v>421</v>
      </c>
      <c r="D93" s="30" t="str">
        <f>IF(AND(NOT(ISBLANK(ClientSFTPPartnerInCamelNotation)),NOT(ISBLANK(ClientSFTPLoginName)),NOT(ISBLANK(ClientSFTPDNSOrIP)),NOT(ISBLANK(ClientSFTPPort)),NOT(ISBLANK(ClientSFTPMessageType2))),ClientSFTPKhk,"")</f>
        <v/>
      </c>
      <c r="E93" s="30" t="str">
        <f>IF(AND(NOT(ISBLANK(ClientSFTPPartnerInCamelNotation)),NOT(ISBLANK(ClientSFTPLoginNameTest)),NOT(ISBLANK(ClientSFTPDNSOrIPTest)),NOT(ISBLANK(ClientSFTPPortTest)),NOT(ISBLANK(ClientSFTPMessageType2))),ClientSFTPKhkTest,"")</f>
        <v/>
      </c>
    </row>
    <row r="94" spans="1:8" x14ac:dyDescent="0.25">
      <c r="A94" s="191"/>
      <c r="B94" s="183"/>
      <c r="C94" s="147" t="s">
        <v>422</v>
      </c>
      <c r="D94" s="30" t="str">
        <f>IF(AND(NOT(ISBLANK(ClientSFTPPartnerInCamelNotation)),NOT(ISBLANK(ClientSFTPLoginName)),NOT(ISBLANK(ClientSFTPDNSOrIP)),NOT(ISBLANK(ClientSFTPPort)),NOT(ISBLANK(ClientSFTPMessageType2))),ClientSFTPLoginName,"")</f>
        <v/>
      </c>
      <c r="E94" s="30" t="str">
        <f>IF(AND(NOT(ISBLANK(ClientSFTPPartnerInCamelNotation)),NOT(ISBLANK(ClientSFTPLoginNameTest)),NOT(ISBLANK(ClientSFTPDNSOrIPTest)),NOT(ISBLANK(ClientSFTPPortTest)),NOT(ISBLANK(ClientSFTPMessageType2))),ClientSFTPLoginNameTest,"")</f>
        <v/>
      </c>
    </row>
    <row r="95" spans="1:8" x14ac:dyDescent="0.25">
      <c r="A95" s="191"/>
      <c r="B95" s="183"/>
      <c r="C95" s="147" t="s">
        <v>423</v>
      </c>
      <c r="D95" s="30" t="str">
        <f>IF(AND(NOT(ISBLANK(ClientSFTPPartnerInCamelNotation)),NOT(ISBLANK(ClientSFTPLoginName)),NOT(ISBLANK(ClientSFTPDNSOrIP)),NOT(ISBLANK(ClientSFTPPort)),NOT(ISBLANK(ClientSFTPMessageType2))),"Public Key","")</f>
        <v/>
      </c>
      <c r="E95" s="30" t="str">
        <f>IF(AND(NOT(ISBLANK(ClientSFTPPartnerInCamelNotation)),NOT(ISBLANK(ClientSFTPLoginNameTest)),NOT(ISBLANK(ClientSFTPDNSOrIPTest)),NOT(ISBLANK(ClientSFTPPortTest)),NOT(ISBLANK(ClientSFTPMessageType2))),"Public Key","")</f>
        <v/>
      </c>
    </row>
    <row r="96" spans="1:8" ht="30.75" customHeight="1" x14ac:dyDescent="0.25">
      <c r="A96" s="191"/>
      <c r="B96" s="183"/>
      <c r="C96" s="147" t="s">
        <v>424</v>
      </c>
      <c r="D96" s="34" t="str">
        <f>IF(AND(NOT(ISBLANK(ClientSFTPPartnerInCamelNotation)),NOT(ISBLANK(ClientSFTPLoginName)),NOT(ISBLANK(ClientSFTPDNSOrIP)),NOT(ISBLANK(ClientSFTPPort)),NOT(ISBLANK(ClientSFTPMessageType2))),_xlfn.CONCAT("&lt;Leave Empty&gt; (If password required, add entry on Confluence page:",CHAR(10),"SFTP with Password Authentication - Client)"),"")</f>
        <v/>
      </c>
      <c r="E96" s="34" t="str">
        <f>IF(AND(NOT(ISBLANK(ClientSFTPPartnerInCamelNotation)),NOT(ISBLANK(ClientSFTPLoginNameTest)),NOT(ISBLANK(ClientSFTPDNSOrIPTest)),NOT(ISBLANK(ClientSFTPPortTest)),NOT(ISBLANK(ClientSFTPMessageType2))),_xlfn.CONCAT("&lt;Leave Empty&gt; (If password required, add entry on Confluence page:",CHAR(10),"SFTP with Password Authentication - Client)"),"")</f>
        <v/>
      </c>
    </row>
    <row r="97" spans="1:5" x14ac:dyDescent="0.25">
      <c r="A97" s="191"/>
      <c r="B97" s="183"/>
      <c r="C97" s="147" t="s">
        <v>425</v>
      </c>
      <c r="D97" s="30" t="str">
        <f>IF(AND(NOT(ISBLANK(ClientSFTPPartnerInCamelNotation)),NOT(ISBLANK(ClientSFTPLoginName)),NOT(ISBLANK(ClientSFTPDNSOrIP)),NOT(ISBLANK(ClientSFTPPort)),NOT(ISBLANK(ClientSFTPMessageType2))),ClientSFTPUik,"")</f>
        <v/>
      </c>
      <c r="E97" s="30" t="str">
        <f>IF(AND(NOT(ISBLANK(ClientSFTPPartnerInCamelNotation)),NOT(ISBLANK(ClientSFTPLoginNameTest)),NOT(ISBLANK(ClientSFTPDNSOrIPTest)),NOT(ISBLANK(ClientSFTPPortTest)),NOT(ISBLANK(ClientSFTPMessageType2))),ClientSFTPUikTest,"")</f>
        <v/>
      </c>
    </row>
    <row r="98" spans="1:5" x14ac:dyDescent="0.25">
      <c r="A98" s="191"/>
      <c r="B98" s="183"/>
      <c r="C98" s="147" t="s">
        <v>394</v>
      </c>
      <c r="D98" s="34" t="str">
        <f>IF(AND(NOT(ISBLANK(ClientSFTPPartnerInCamelNotation)),NOT(ISBLANK(ClientSFTPLoginName)),NOT(ISBLANK(ClientSFTPDNSOrIP)),NOT(ISBLANK(ClientSFTPPort)),NOT(ISBLANK(ClientSFTPMessageType2))),"&lt;Leave Empty&gt;","")</f>
        <v/>
      </c>
      <c r="E98" s="34" t="str">
        <f>IF(AND(NOT(ISBLANK(ClientSFTPPartnerInCamelNotation)),NOT(ISBLANK(ClientSFTPLoginNameTest)),NOT(ISBLANK(ClientSFTPDNSOrIPTest)),NOT(ISBLANK(ClientSFTPPortTest)),NOT(ISBLANK(ClientSFTPMessageType2))),"&lt;Leave Empty&gt;","")</f>
        <v/>
      </c>
    </row>
    <row r="99" spans="1:5" x14ac:dyDescent="0.25">
      <c r="A99" s="191"/>
      <c r="B99" s="183"/>
      <c r="C99" s="147" t="s">
        <v>426</v>
      </c>
      <c r="D99" s="30" t="str">
        <f>IF(AND(NOT(ISBLANK(ClientSFTPPartnerInCamelNotation)),NOT(ISBLANK(ClientSFTPLoginName)),NOT(ISBLANK(ClientSFTPDNSOrIP)),NOT(ISBLANK(ClientSFTPPort)),NOT(ISBLANK(ClientSFTPMessageType2))),"None","")</f>
        <v/>
      </c>
      <c r="E99" s="30" t="str">
        <f>IF(AND(NOT(ISBLANK(ClientSFTPPartnerInCamelNotation)),NOT(ISBLANK(ClientSFTPLoginNameTest)),NOT(ISBLANK(ClientSFTPDNSOrIPTest)),NOT(ISBLANK(ClientSFTPPortTest)),NOT(ISBLANK(ClientSFTPMessageType2))),"None","")</f>
        <v/>
      </c>
    </row>
    <row r="100" spans="1:5" x14ac:dyDescent="0.25">
      <c r="A100" s="191"/>
      <c r="B100" s="183"/>
      <c r="C100" s="147" t="s">
        <v>427</v>
      </c>
      <c r="D100" s="34" t="str">
        <f>IF(AND(NOT(ISBLANK(ClientSFTPPartnerInCamelNotation)),NOT(ISBLANK(ClientSFTPLoginName)),NOT(ISBLANK(ClientSFTPDNSOrIP)),NOT(ISBLANK(ClientSFTPPort)),NOT(ISBLANK(ClientSFTPMessageType2))),"&lt;Leave Empty&gt;","")</f>
        <v/>
      </c>
      <c r="E100" s="34" t="str">
        <f>IF(AND(NOT(ISBLANK(ClientSFTPPartnerInCamelNotation)),NOT(ISBLANK(ClientSFTPLoginNameTest)),NOT(ISBLANK(ClientSFTPDNSOrIPTest)),NOT(ISBLANK(ClientSFTPPortTest)),NOT(ISBLANK(ClientSFTPMessageType2))),"&lt;Leave Empty&gt;","")</f>
        <v/>
      </c>
    </row>
    <row r="101" spans="1:5" x14ac:dyDescent="0.25">
      <c r="A101" s="191"/>
      <c r="B101" s="183"/>
      <c r="C101" s="147" t="s">
        <v>428</v>
      </c>
      <c r="D101" s="34" t="str">
        <f>IF(AND(NOT(ISBLANK(ClientSFTPPartnerInCamelNotation)),NOT(ISBLANK(ClientSFTPLoginName)),NOT(ISBLANK(ClientSFTPDNSOrIP)),NOT(ISBLANK(ClientSFTPPort)),NOT(ISBLANK(ClientSFTPMessageType2))),"&lt;Leave Empty&gt;","")</f>
        <v/>
      </c>
      <c r="E101" s="34" t="str">
        <f>IF(AND(NOT(ISBLANK(ClientSFTPPartnerInCamelNotation)),NOT(ISBLANK(ClientSFTPLoginNameTest)),NOT(ISBLANK(ClientSFTPDNSOrIPTest)),NOT(ISBLANK(ClientSFTPPortTest)),NOT(ISBLANK(ClientSFTPMessageType2))),"&lt;Leave Empty&gt;","")</f>
        <v/>
      </c>
    </row>
    <row r="102" spans="1:5" x14ac:dyDescent="0.25">
      <c r="A102" s="191"/>
      <c r="B102" s="183"/>
      <c r="C102" s="147" t="s">
        <v>429</v>
      </c>
      <c r="D102" s="34" t="str">
        <f>IF(AND(NOT(ISBLANK(ClientSFTPPartnerInCamelNotation)),NOT(ISBLANK(ClientSFTPLoginName)),NOT(ISBLANK(ClientSFTPDNSOrIP)),NOT(ISBLANK(ClientSFTPPort)),NOT(ISBLANK(ClientSFTPMessageType2))),"&lt;Leave Empty&gt;","")</f>
        <v/>
      </c>
      <c r="E102" s="34" t="str">
        <f>IF(AND(NOT(ISBLANK(ClientSFTPPartnerInCamelNotation)),NOT(ISBLANK(ClientSFTPLoginNameTest)),NOT(ISBLANK(ClientSFTPDNSOrIPTest)),NOT(ISBLANK(ClientSFTPPortTest)),NOT(ISBLANK(ClientSFTPMessageType2))),"&lt;Leave Empty&gt;","")</f>
        <v/>
      </c>
    </row>
    <row r="103" spans="1:5" x14ac:dyDescent="0.25">
      <c r="A103" s="191"/>
      <c r="B103" s="183"/>
      <c r="C103" s="147" t="s">
        <v>430</v>
      </c>
      <c r="D103" s="30" t="str">
        <f>IF(AND(NOT(ISBLANK(ClientSFTPPartnerInCamelNotation)),NOT(ISBLANK(ClientSFTPLoginName)),NOT(ISBLANK(ClientSFTPDNSOrIP)),NOT(ISBLANK(ClientSFTPPort)),NOT(ISBLANK(ClientSFTPMessageType2))),"aes256-ctr","")</f>
        <v/>
      </c>
      <c r="E103" s="30" t="str">
        <f>IF(AND(NOT(ISBLANK(ClientSFTPPartnerInCamelNotation)),NOT(ISBLANK(ClientSFTPLoginNameTest)),NOT(ISBLANK(ClientSFTPDNSOrIPTest)),NOT(ISBLANK(ClientSFTPPortTest)),NOT(ISBLANK(ClientSFTPMessageType2))),"aes256-ctr","")</f>
        <v/>
      </c>
    </row>
    <row r="104" spans="1:5" x14ac:dyDescent="0.25">
      <c r="A104" s="191"/>
      <c r="B104" s="183"/>
      <c r="C104" s="147" t="s">
        <v>431</v>
      </c>
      <c r="D104" s="30" t="str">
        <f>IF(AND(NOT(ISBLANK(ClientSFTPPartnerInCamelNotation)),NOT(ISBLANK(ClientSFTPLoginName)),NOT(ISBLANK(ClientSFTPDNSOrIP)),NOT(ISBLANK(ClientSFTPPort)),NOT(ISBLANK(ClientSFTPMessageType2))),"hmac-sha1","")</f>
        <v/>
      </c>
      <c r="E104" s="30" t="str">
        <f>IF(AND(NOT(ISBLANK(ClientSFTPPartnerInCamelNotation)),NOT(ISBLANK(ClientSFTPLoginNameTest)),NOT(ISBLANK(ClientSFTPDNSOrIPTest)),NOT(ISBLANK(ClientSFTPPortTest)),NOT(ISBLANK(ClientSFTPMessageType2))),"hmac-sha1","")</f>
        <v/>
      </c>
    </row>
    <row r="105" spans="1:5" x14ac:dyDescent="0.25">
      <c r="A105" s="192"/>
      <c r="B105" s="184"/>
      <c r="C105" s="147" t="s">
        <v>432</v>
      </c>
      <c r="D105" s="34" t="str">
        <f>IF(AND(NOT(ISBLANK(ClientSFTPPartnerInCamelNotation)),NOT(ISBLANK(ClientSFTPLoginName)),NOT(ISBLANK(ClientSFTPDNSOrIP)),NOT(ISBLANK(ClientSFTPPort)),NOT(ISBLANK(ClientSFTPMessageType2))),"&lt;Leave Empty&gt;","")</f>
        <v/>
      </c>
      <c r="E105" s="34" t="str">
        <f>IF(AND(NOT(ISBLANK(ClientSFTPPartnerInCamelNotation)),NOT(ISBLANK(ClientSFTPLoginNameTest)),NOT(ISBLANK(ClientSFTPDNSOrIPTest)),NOT(ISBLANK(ClientSFTPPortTest)),NOT(ISBLANK(ClientSFTPMessageType2))),"&lt;Leave Empty&gt;","")</f>
        <v/>
      </c>
    </row>
    <row r="109" spans="1:5" x14ac:dyDescent="0.25">
      <c r="A109" s="79" t="s">
        <v>397</v>
      </c>
    </row>
    <row r="111" spans="1:5" x14ac:dyDescent="0.25">
      <c r="A111" s="26" t="s">
        <v>417</v>
      </c>
      <c r="B111" s="83">
        <v>1</v>
      </c>
    </row>
    <row r="113" spans="1:5" x14ac:dyDescent="0.25">
      <c r="A113" s="35" t="s">
        <v>67</v>
      </c>
      <c r="B113" s="23" t="s">
        <v>68</v>
      </c>
      <c r="C113" s="35" t="s">
        <v>59</v>
      </c>
      <c r="D113" s="33" t="s">
        <v>438</v>
      </c>
      <c r="E113" s="33" t="s">
        <v>437</v>
      </c>
    </row>
    <row r="114" spans="1:5" x14ac:dyDescent="0.25">
      <c r="A114" s="188">
        <v>1</v>
      </c>
      <c r="B114" s="24" t="s">
        <v>398</v>
      </c>
      <c r="C114" s="26" t="s">
        <v>69</v>
      </c>
      <c r="D114" s="30" t="str">
        <f>IF(AND(NOT(ISBLANK(ClientSFTPPartnerInCamelNotation)),NOT(ISBLANK(ClientSFTPLoginName)),NOT(ISBLANK(ClientSFTPDNSOrIP)),NOT(ISBLANK(ClientSFTPPort)),NOT(ISBLANK(ClientSFTPMessageType2))),_xlfn.CONCAT("DSV_BP_SFTPGET_",IF(IFERROR(FIND("@",ClientSFTPLoginName),0)&gt;0,REPLACE(ClientSFTPLoginName,FIND("@",ClientSFTPLoginName),1,"_at_"),ClientSFTPLoginName),"_",ClientSFTPDNSOrIP,"_",ClientSFTPPort,"_bp"),"")</f>
        <v/>
      </c>
      <c r="E114" s="30" t="str">
        <f>IF(AND(NOT(ISBLANK(ClientSFTPPartnerInCamelNotation)),NOT(ISBLANK(ClientSFTPLoginNameTest)),NOT(ISBLANK(ClientSFTPDNSOrIPTest)),NOT(ISBLANK(ClientSFTPPortTest)),NOT(ISBLANK(ClientSFTPMessageType2))),_xlfn.CONCAT("DSV_BP_SFTPGET_",IF(IFERROR(FIND("@",ClientSFTPLoginNameTest),0)&gt;0,REPLACE(ClientSFTPLoginNameTest,FIND("@",ClientSFTPLoginNameTest),1,"_at_"),ClientSFTPLoginNameTest),"_",ClientSFTPDNSOrIPTest,"_",ClientSFTPPortTest,"_bp"),"")</f>
        <v/>
      </c>
    </row>
    <row r="115" spans="1:5" ht="30" x14ac:dyDescent="0.25">
      <c r="A115" s="189"/>
      <c r="B115" s="24"/>
      <c r="C115" s="175" t="s">
        <v>399</v>
      </c>
      <c r="D115" s="30" t="str">
        <f>IF(AND(NOT(ISBLANK(ClientSFTPPartnerInCamelNotation)),NOT(ISBLANK(ClientSFTPLoginName)),NOT(ISBLANK(ClientSFTPDNSOrIP)),NOT(ISBLANK(ClientSFTPPort)),NOT(ISBLANK(ClientSFTPMessageType2))),"Business Process Text Editor","")</f>
        <v/>
      </c>
    </row>
    <row r="116" spans="1:5" x14ac:dyDescent="0.25">
      <c r="A116" s="188">
        <v>2</v>
      </c>
      <c r="B116" s="24" t="s">
        <v>400</v>
      </c>
      <c r="C116" s="175" t="s">
        <v>81</v>
      </c>
      <c r="D116" s="30" t="str">
        <f>IF(AND(NOT(ISBLANK(ClientSFTPPartnerInCamelNotation)),NOT(ISBLANK(ClientSFTPLoginName)),NOT(ISBLANK(ClientSFTPDNSOrIP)),NOT(ISBLANK(ClientSFTPPort)),NOT(ISBLANK(ClientSFTPMessageType2))),_xlfn.CONCAT("v",ClientSFTPBPVersion1," - ",RITMNumber," - SFTP to ",IF(IFERROR(FIND("@",ClientSFTPLoginName),0)&gt;0,REPLACE(ClientSFTPLoginName,FIND("@",ClientSFTPLoginName),1,"_at_"),ClientSFTPLoginName),"@",ClientSFTPDNSOrIP,"_",ClientSFTPPort),"")</f>
        <v/>
      </c>
      <c r="E116" s="30" t="str">
        <f>IF(AND(NOT(ISBLANK(ClientSFTPPartnerInCamelNotation)),NOT(ISBLANK(ClientSFTPLoginNameTest)),NOT(ISBLANK(ClientSFTPDNSOrIPTest)),NOT(ISBLANK(ClientSFTPPortTest)),NOT(ISBLANK(ClientSFTPMessageType2))),_xlfn.CONCAT("v",ClientSFTPBPVersion2," - ",RITMNumber," - FTP to ",IF(IFERROR(FIND("@",ClientSFTPLoginNameTest),0)&gt;0,REPLACE(ClientSFTPLoginNameTest,FIND("@",ClientSFTPLoginNameTest),1,"_at_"),ClientSFTPLoginNameTest),"@",ClientSFTPDNSOrIPTest,"_",ClientSFTPPortTest),"")</f>
        <v/>
      </c>
    </row>
    <row r="117" spans="1:5" ht="77.25" customHeight="1" x14ac:dyDescent="0.25">
      <c r="A117" s="189"/>
      <c r="B117" s="24"/>
      <c r="C117" s="175" t="s">
        <v>124</v>
      </c>
      <c r="D117" s="30" t="str">
        <f>IF(AND(NOT(ISBLANK(ClientSFTPPartnerInCamelNotation)),NOT(ISBLANK(ClientSFTPLoginName)),NOT(ISBLANK(ClientSFTPDNSOrIP)),NOT(ISBLANK(ClientSFTPPort)),NOT(ISBLANK(ClientSFTPMessageType2))),CONCATENATE("&lt;?xml version="&amp;CHAR(34)&amp;"1.0"&amp;CHAR(34)&amp;" encoding="&amp;CHAR(34)&amp;"UTF-8"&amp;CHAR(34)&amp;"?&gt;",CHAR(10),"&lt;process name="&amp;CHAR(34),ClientSFTPBPName2,CHAR(34),"&gt;",CHAR(10),CHAR(9),"&lt;sequence name="&amp;CHAR(34)&amp;"Main"&amp;CHAR(34)&amp;"&gt;",CHAR(10),CHAR(9),CHAR(9),"&lt;operation name=",CHAR(34),"Invoke SFTP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from=",CHAR(34),"'LW_BP_SFTPGET'",CHAR(34),"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c r="E117" s="30" t="str">
        <f>IF(AND(NOT(ISBLANK(ClientSFTPPartnerInCamelNotation)),NOT(ISBLANK(ClientSFTPLoginNameTest)),NOT(ISBLANK(ClientSFTPDNSOrIPTest)),NOT(ISBLANK(ClientSFTPPortTest)),NOT(ISBLANK(ClientSFTPMessageType2))),CONCATENATE("&lt;?xml version="&amp;CHAR(34)&amp;"1.0"&amp;CHAR(34)&amp;" encoding="&amp;CHAR(34)&amp;"UTF-8"&amp;CHAR(34)&amp;"?&gt;",CHAR(10),"&lt;process name="&amp;CHAR(34),ClientSFTPBPName2Test,CHAR(34),"&gt;",CHAR(10),CHAR(9),"&lt;sequence name="&amp;CHAR(34)&amp;"Main"&amp;CHAR(34)&amp;"&gt;",CHAR(10),CHAR(9),CHAR(9),"&lt;operation name=",CHAR(34),"Invoke SFTP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from=",CHAR(34),"'LW_BP_SFTPGET'",CHAR(34),"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row>
    <row r="118" spans="1:5" x14ac:dyDescent="0.25">
      <c r="A118" s="26">
        <v>3</v>
      </c>
      <c r="B118" s="24" t="s">
        <v>401</v>
      </c>
      <c r="C118" s="175" t="s">
        <v>402</v>
      </c>
      <c r="D118" s="30" t="str">
        <f>IF(AND(NOT(ISBLANK(ClientSFTPPartnerInCamelNotation)),NOT(ISBLANK(ClientSFTPLoginName)),NOT(ISBLANK(ClientSFTPDNSOrIP)),NOT(ISBLANK(ClientSFTPPort)),NOT(ISBLANK(ClientSFTPMessageType2))),"&lt;Leave As Is&gt;","")</f>
        <v/>
      </c>
    </row>
    <row r="122" spans="1:5" x14ac:dyDescent="0.25">
      <c r="A122" s="79" t="s">
        <v>581</v>
      </c>
    </row>
    <row r="123" spans="1:5" x14ac:dyDescent="0.25">
      <c r="A123" s="35" t="s">
        <v>67</v>
      </c>
      <c r="B123" s="23" t="s">
        <v>68</v>
      </c>
      <c r="C123" s="35" t="s">
        <v>59</v>
      </c>
      <c r="D123" s="33" t="s">
        <v>438</v>
      </c>
      <c r="E123" s="33" t="s">
        <v>437</v>
      </c>
    </row>
    <row r="124" spans="1:5" x14ac:dyDescent="0.25">
      <c r="A124" s="190">
        <v>1</v>
      </c>
      <c r="B124" s="182" t="s">
        <v>403</v>
      </c>
      <c r="C124" s="175" t="s">
        <v>404</v>
      </c>
      <c r="D124" s="30" t="str">
        <f>ClientSFTPBPName2</f>
        <v/>
      </c>
      <c r="E124" s="30" t="str">
        <f>ClientSFTPBPName2Test</f>
        <v/>
      </c>
    </row>
    <row r="125" spans="1:5" x14ac:dyDescent="0.25">
      <c r="A125" s="191"/>
      <c r="B125" s="184"/>
      <c r="C125" s="175" t="s">
        <v>384</v>
      </c>
      <c r="D125" s="30" t="str">
        <f>ClientSFTPProfileName2</f>
        <v/>
      </c>
      <c r="E125" s="30" t="str">
        <f>ClientSFTPProfileName2Test</f>
        <v/>
      </c>
    </row>
    <row r="126" spans="1:5" x14ac:dyDescent="0.25">
      <c r="A126" s="191"/>
      <c r="B126" s="182" t="s">
        <v>405</v>
      </c>
      <c r="C126" s="175" t="s">
        <v>406</v>
      </c>
      <c r="D126" s="107" t="str">
        <f>IF(AND(NOT(ISBLANK(ClientSFTPPartnerInCamelNotation)),NOT(ISBLANK(ClientSFTPLoginName)),NOT(ISBLANK(ClientSFTPDNSOrIP)),NOT(ISBLANK(ClientSFTPPort)),NOT(ISBLANK(ClientSFTPMessageType2))),"&lt;Leave Empty&gt;","")</f>
        <v/>
      </c>
    </row>
    <row r="127" spans="1:5" ht="30" customHeight="1" x14ac:dyDescent="0.25">
      <c r="A127" s="191"/>
      <c r="B127" s="183"/>
      <c r="C127" s="175" t="s">
        <v>407</v>
      </c>
      <c r="D127" s="26" t="str">
        <f>IF(AND(NOT(ISBLANK(ClientSFTPPartnerInCamelNotation)),NOT(ISBLANK(ClientSFTPLoginName)),NOT(ISBLANK(ClientSFTPDNSOrIP)),NOT(ISBLANK(ClientSFTPPort)),NOT(ISBLANK(ClientSFTPMessageType2))),"&lt;Full path to download folder&gt; (Comma separated list in case of multiple folders)","")</f>
        <v/>
      </c>
      <c r="E127" s="26" t="str">
        <f>IF(AND(NOT(ISBLANK(ClientSFTPPartnerInCamelNotation)),NOT(ISBLANK(ClientSFTPLoginNameTest)),NOT(ISBLANK(ClientSFTPDNSOrIPTest)),NOT(ISBLANK(ClientSFTPPortTest)),NOT(ISBLANK(ClientSFTPMessageType2))),"&lt;Full path to download folder&gt; (Comma separated list in case of multiple folders)","")</f>
        <v/>
      </c>
    </row>
    <row r="128" spans="1:5" ht="32.25" customHeight="1" x14ac:dyDescent="0.25">
      <c r="A128" s="191"/>
      <c r="B128" s="183"/>
      <c r="C128" s="175" t="s">
        <v>408</v>
      </c>
      <c r="D128" s="26" t="str">
        <f>IF(AND(NOT(ISBLANK(ClientSFTPPartnerInCamelNotation)),NOT(ISBLANK(ClientSFTPLoginName)),NOT(ISBLANK(ClientSFTPDNSOrIP)),NOT(ISBLANK(ClientSFTPPort)),NOT(ISBLANK(ClientSFTPMessageType2))),"&lt;Filename masks of files to download&gt; (Comma separated list in case of multiple filename masks)","")</f>
        <v/>
      </c>
      <c r="E128" s="26" t="str">
        <f>IF(AND(NOT(ISBLANK(ClientSFTPPartnerInCamelNotation)),NOT(ISBLANK(ClientSFTPLoginNameTest)),NOT(ISBLANK(ClientSFTPDNSOrIPTest)),NOT(ISBLANK(ClientSFTPPortTest)),NOT(ISBLANK(ClientSFTPMessageType2))),"&lt;Filename masks of files to download&gt; (Comma separated list in case of multiple filename masks)","")</f>
        <v/>
      </c>
    </row>
    <row r="129" spans="1:5" ht="31.7" customHeight="1" x14ac:dyDescent="0.25">
      <c r="A129" s="191"/>
      <c r="B129" s="183"/>
      <c r="C129" s="175" t="s">
        <v>409</v>
      </c>
      <c r="D129" s="108" t="str">
        <f>IF(AND(NOT(ISBLANK(ClientSFTPPartnerInCamelNotation)),NOT(ISBLANK(ClientSFTPLoginName)),NOT(ISBLANK(ClientSFTPDNSOrIP)),NOT(ISBLANK(ClientSFTPPort)),NOT(ISBLANK(ClientSFTPMessageType2))),CONCATENATE("Y (If file should be deleted after download)",CHAR(10),"N (If file should not be deleted after download)"),"")</f>
        <v/>
      </c>
    </row>
    <row r="130" spans="1:5" ht="30.75" customHeight="1" x14ac:dyDescent="0.25">
      <c r="A130" s="191"/>
      <c r="B130" s="183"/>
      <c r="C130" s="175" t="s">
        <v>410</v>
      </c>
      <c r="D130" s="26" t="str">
        <f>IF(AND(NOT(ISBLANK(ClientSFTPPartnerInCamelNotation)),NOT(ISBLANK(ClientSFTPLoginName)),NOT(ISBLANK(ClientSFTPDNSOrIP)),NOT(ISBLANK(ClientSFTPPort)),NOT(ISBLANK(ClientSFTPMessageType2))),"&lt;Full path to history folder on FTP Server to move file to after download&gt; (Leave empty if no history folder)","")</f>
        <v/>
      </c>
      <c r="E130" s="26" t="str">
        <f>IF(AND(NOT(ISBLANK(ClientSFTPPartnerInCamelNotation)),NOT(ISBLANK(ClientSFTPLoginNameTest)),NOT(ISBLANK(ClientSFTPDNSOrIPTest)),NOT(ISBLANK(ClientSFTPPortTest)),NOT(ISBLANK(ClientSFTPMessageType2))),"&lt;Full path to history folder on FTP Server to move file to after download&gt; (Leave empty if no history folder)","")</f>
        <v/>
      </c>
    </row>
    <row r="131" spans="1:5" ht="31.7" customHeight="1" x14ac:dyDescent="0.25">
      <c r="A131" s="191"/>
      <c r="B131" s="183"/>
      <c r="C131" s="175" t="s">
        <v>411</v>
      </c>
      <c r="D131" s="109" t="str">
        <f>IF(AND(NOT(ISBLANK(ClientSFTPPartnerInCamelNotation)),NOT(ISBLANK(ClientSFTPLoginName)),NOT(ISBLANK(ClientSFTPDNSOrIP)),NOT(ISBLANK(ClientSFTPPort)),NOT(ISBLANK(ClientSFTPMessageType2))),CONCATENATE("&lt;Leave Empty&gt; (Preferred)",CHAR(10),"ASCII (If required by partner)"),"")</f>
        <v/>
      </c>
    </row>
    <row r="132" spans="1:5" x14ac:dyDescent="0.25">
      <c r="A132" s="192"/>
      <c r="B132" s="184"/>
      <c r="C132" s="175" t="s">
        <v>412</v>
      </c>
      <c r="D132" s="30" t="str">
        <f>IF(AND(NOT(ISBLANK(ClientSFTPPartnerInCamelNotation)),NOT(ISBLANK(ClientSFTPLoginName)),NOT(ISBLANK(ClientSFTPDNSOrIP)),NOT(ISBLANK(ClientSFTPPort)),NOT(ISBLANK(ClientSFTPMessageType2)),NOT(ISBLANK(Platform))),IF(Platform="EBIP","DSV_SA_SFTP_CNX_GROUP_cf",IF(AND(ClientSFTPServerInsideDSVNetwork2="Yes",ClientSFTPServerInsideDSVNetworkQuestion2="Is SFTP server inside DSV network?"),"DSV_SA_SFTP_CNXLOCAL_GROUP_cf","DSV_SA_SFTP_CNXPX_GROUP_cf")),"")</f>
        <v/>
      </c>
    </row>
    <row r="136" spans="1:5" x14ac:dyDescent="0.25">
      <c r="A136" s="84" t="s">
        <v>442</v>
      </c>
    </row>
    <row r="137" spans="1:5" x14ac:dyDescent="0.25">
      <c r="A137" s="35" t="s">
        <v>67</v>
      </c>
      <c r="B137" s="23" t="s">
        <v>68</v>
      </c>
      <c r="C137" s="35" t="s">
        <v>59</v>
      </c>
      <c r="D137" s="33" t="s">
        <v>438</v>
      </c>
      <c r="E137" s="33" t="s">
        <v>437</v>
      </c>
    </row>
    <row r="138" spans="1:5" x14ac:dyDescent="0.25">
      <c r="A138" s="190">
        <v>1</v>
      </c>
      <c r="B138" s="182" t="s">
        <v>286</v>
      </c>
      <c r="C138" s="175" t="s">
        <v>276</v>
      </c>
      <c r="D138" s="30" t="str">
        <f>IF(AND(NOT(ISBLANK(ClientSFTPPartnerInCamelNotation)),NOT(ISBLANK(ClientSFTPLoginName)),NOT(ISBLANK(ClientSFTPDNSOrIP)),NOT(ISBLANK(ClientSFTPPort)),NOT(ISBLANK(ClientSFTPMessageType2))),"admin","")</f>
        <v/>
      </c>
    </row>
    <row r="139" spans="1:5" x14ac:dyDescent="0.25">
      <c r="A139" s="191"/>
      <c r="B139" s="183"/>
      <c r="C139" s="147" t="s">
        <v>277</v>
      </c>
      <c r="D139" s="34" t="str">
        <f>IF(AND(NOT(ISBLANK(ClientSFTPPartnerInCamelNotation)),NOT(ISBLANK(ClientSFTPLoginName)),NOT(ISBLANK(ClientSFTPDNSOrIP)),NOT(ISBLANK(ClientSFTPPort)),NOT(ISBLANK(ClientSFTPMessageType2))),"&lt;Unchecked&gt;","")</f>
        <v/>
      </c>
    </row>
    <row r="140" spans="1:5" x14ac:dyDescent="0.25">
      <c r="A140" s="192"/>
      <c r="B140" s="184"/>
      <c r="C140" s="147" t="s">
        <v>278</v>
      </c>
      <c r="D140" s="30" t="str">
        <f>IF(AND(NOT(ISBLANK(ClientSFTPPartnerInCamelNotation)),NOT(ISBLANK(ClientSFTPLoginName)),NOT(ISBLANK(ClientSFTPDNSOrIP)),NOT(ISBLANK(ClientSFTPPort)),NOT(ISBLANK(ClientSFTPMessageType2))),"Run based on timer","")</f>
        <v/>
      </c>
    </row>
    <row r="141" spans="1:5" x14ac:dyDescent="0.25">
      <c r="A141" s="85">
        <v>2</v>
      </c>
      <c r="B141" s="54" t="s">
        <v>287</v>
      </c>
      <c r="C141" s="175"/>
      <c r="D141" s="34" t="str">
        <f>IF(AND(NOT(ISBLANK(ClientSFTPPartnerInCamelNotation)),NOT(ISBLANK(ClientSFTPLoginName)),NOT(ISBLANK(ClientSFTPDNSOrIP)),NOT(ISBLANK(ClientSFTPPort)),NOT(ISBLANK(ClientSFTPMessageType2))),"&lt;Interval agreed with remote party&gt;","")</f>
        <v/>
      </c>
    </row>
    <row r="142" spans="1:5" ht="30" customHeight="1" x14ac:dyDescent="0.25">
      <c r="A142" s="190">
        <v>3</v>
      </c>
      <c r="B142" s="54" t="s">
        <v>288</v>
      </c>
      <c r="C142" s="175"/>
      <c r="D142" s="34" t="str">
        <f>IF(AND(NOT(ISBLANK(ClientSFTPPartnerInCamelNotation)),NOT(ISBLANK(ClientSFTPLoginName)),NOT(ISBLANK(ClientSFTPDNSOrIP)),NOT(ISBLANK(ClientSFTPPort)),NOT(ISBLANK(ClientSFTPMessageType2))),CONCATENATE("&lt;Leave Empty&gt; (Preferred)",CHAR(10),"&lt;Exclusion time if required by partner&gt;"),"")</f>
        <v/>
      </c>
    </row>
    <row r="143" spans="1:5" ht="30" customHeight="1" x14ac:dyDescent="0.25">
      <c r="A143" s="191"/>
      <c r="B143" s="54" t="s">
        <v>414</v>
      </c>
      <c r="C143" s="175"/>
      <c r="D143" s="34" t="str">
        <f>IF(AND(NOT(ISBLANK(ClientSFTPPartnerInCamelNotation)),NOT(ISBLANK(ClientSFTPLoginName)),NOT(ISBLANK(ClientSFTPDNSOrIP)),NOT(ISBLANK(ClientSFTPPort)),NOT(ISBLANK(ClientSFTPMessageType2))),CONCATENATE("&lt;Leave Empty&gt; (Preferred)",CHAR(10),"&lt;Exclusion date if required by partner&gt;"),"")</f>
        <v/>
      </c>
    </row>
    <row r="144" spans="1:5" x14ac:dyDescent="0.25">
      <c r="A144" s="191"/>
      <c r="B144" s="182" t="s">
        <v>415</v>
      </c>
      <c r="C144" s="175" t="s">
        <v>124</v>
      </c>
      <c r="D144" s="30" t="str">
        <f>ClientSFTPBPName2</f>
        <v/>
      </c>
      <c r="E144" s="30" t="str">
        <f>ClientSFTPBPName2Test</f>
        <v/>
      </c>
    </row>
    <row r="145" spans="1:4" x14ac:dyDescent="0.25">
      <c r="A145" s="192"/>
      <c r="B145" s="184"/>
      <c r="C145" s="175" t="s">
        <v>416</v>
      </c>
      <c r="D145" s="34" t="str">
        <f>IF(AND(NOT(ISBLANK(ClientSFTPPartnerInCamelNotation)),NOT(ISBLANK(ClientSFTPLoginName)),NOT(ISBLANK(ClientSFTPDNSOrIP)),NOT(ISBLANK(ClientSFTPPort)),NOT(ISBLANK(ClientSFTPMessageType2))),"&lt;Leave Empty&gt;","")</f>
        <v/>
      </c>
    </row>
  </sheetData>
  <autoFilter ref="A1:D77" xr:uid="{00000000-0009-0000-0000-00000E000000}"/>
  <mergeCells count="22">
    <mergeCell ref="A22:A37"/>
    <mergeCell ref="B22:B37"/>
    <mergeCell ref="A90:A105"/>
    <mergeCell ref="B90:B105"/>
    <mergeCell ref="A114:A115"/>
    <mergeCell ref="A74:A77"/>
    <mergeCell ref="B76:B77"/>
    <mergeCell ref="A46:A47"/>
    <mergeCell ref="A48:A49"/>
    <mergeCell ref="A56:A64"/>
    <mergeCell ref="B56:B57"/>
    <mergeCell ref="B58:B64"/>
    <mergeCell ref="A70:A72"/>
    <mergeCell ref="B70:B72"/>
    <mergeCell ref="A142:A145"/>
    <mergeCell ref="B144:B145"/>
    <mergeCell ref="A116:A117"/>
    <mergeCell ref="A124:A132"/>
    <mergeCell ref="B124:B125"/>
    <mergeCell ref="B126:B132"/>
    <mergeCell ref="A138:A140"/>
    <mergeCell ref="B138:B140"/>
  </mergeCells>
  <conditionalFormatting sqref="B10">
    <cfRule type="expression" dxfId="3" priority="3">
      <formula>SEARCH("FALSE",IsProtocolSFTP)&gt;0</formula>
    </cfRule>
    <cfRule type="expression" dxfId="2" priority="4">
      <formula>SEARCH("TRUE",IsProtocolSFTP)&gt;0</formula>
    </cfRule>
  </conditionalFormatting>
  <conditionalFormatting sqref="A10">
    <cfRule type="expression" dxfId="1" priority="1">
      <formula>ISBLANK(PartnerDesignation)</formula>
    </cfRule>
  </conditionalFormatting>
  <dataValidations count="2">
    <dataValidation showInputMessage="1" showErrorMessage="1" error="Valid values are TRUE and FALSE." sqref="B3" xr:uid="{00000000-0002-0000-0E00-000000000000}"/>
    <dataValidation type="list" allowBlank="1" showInputMessage="1" showErrorMessage="1" sqref="B85 B17" xr:uid="{A061CE15-00D9-4F6B-B6D8-4C84A7701B86}">
      <formula1>YesOrNo</formula1>
    </dataValidation>
  </dataValidations>
  <pageMargins left="0.7" right="0.7" top="0.75" bottom="0.75" header="0.3" footer="0.3"/>
  <pageSetup paperSize="9" orientation="portrait" r:id="rId1"/>
  <headerFooter>
    <oddFooter>&amp;C_x000D_&amp;1#&amp;"Calibri"&amp;10&amp;K000000 DSV internal</oddFooter>
  </headerFooter>
  <ignoredErrors>
    <ignoredError sqref="D31:E31 D99:E9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ThisWorkbook.CopyClientFTPBPbpmlToClipboard">
                <anchor moveWithCells="1">
                  <from>
                    <xdr:col>6</xdr:col>
                    <xdr:colOff>28575</xdr:colOff>
                    <xdr:row>48</xdr:row>
                    <xdr:rowOff>133350</xdr:rowOff>
                  </from>
                  <to>
                    <xdr:col>7</xdr:col>
                    <xdr:colOff>0</xdr:colOff>
                    <xdr:row>48</xdr:row>
                    <xdr:rowOff>981075</xdr:rowOff>
                  </to>
                </anchor>
              </controlPr>
            </control>
          </mc:Choice>
        </mc:AlternateContent>
        <mc:AlternateContent xmlns:mc="http://schemas.openxmlformats.org/markup-compatibility/2006">
          <mc:Choice Requires="x14">
            <control shapeId="45059" r:id="rId5" name="Button 3">
              <controlPr defaultSize="0" print="0" autoFill="0" autoPict="0" macro="[0]!ThisWorkbook.CopyClientFTPBPbpmlToClipboard">
                <anchor moveWithCells="1">
                  <from>
                    <xdr:col>6</xdr:col>
                    <xdr:colOff>28575</xdr:colOff>
                    <xdr:row>116</xdr:row>
                    <xdr:rowOff>123825</xdr:rowOff>
                  </from>
                  <to>
                    <xdr:col>7</xdr:col>
                    <xdr:colOff>0</xdr:colOff>
                    <xdr:row>116</xdr:row>
                    <xdr:rowOff>866775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2:D41"/>
  <sheetViews>
    <sheetView zoomScaleNormal="100" workbookViewId="0"/>
  </sheetViews>
  <sheetFormatPr defaultRowHeight="15" x14ac:dyDescent="0.25"/>
  <cols>
    <col min="1" max="1" width="29.7109375" style="8" bestFit="1" customWidth="1"/>
    <col min="2" max="2" width="26.28515625" style="8" bestFit="1" customWidth="1"/>
    <col min="3" max="3" width="15.140625" style="8" bestFit="1" customWidth="1"/>
    <col min="4" max="4" width="29.85546875" style="8" customWidth="1"/>
    <col min="5" max="5" width="120.5703125" customWidth="1"/>
  </cols>
  <sheetData>
    <row r="2" spans="1:4" x14ac:dyDescent="0.25">
      <c r="A2" s="45" t="s">
        <v>185</v>
      </c>
    </row>
    <row r="4" spans="1:4" x14ac:dyDescent="0.25">
      <c r="A4" s="23" t="s">
        <v>184</v>
      </c>
    </row>
    <row r="5" spans="1:4" s="16" customFormat="1" x14ac:dyDescent="0.25"/>
    <row r="6" spans="1:4" x14ac:dyDescent="0.25">
      <c r="A6" s="28" t="s">
        <v>67</v>
      </c>
      <c r="B6" s="28" t="s">
        <v>68</v>
      </c>
      <c r="C6" s="28" t="s">
        <v>59</v>
      </c>
      <c r="D6" s="28" t="s">
        <v>60</v>
      </c>
    </row>
    <row r="7" spans="1:4" x14ac:dyDescent="0.25">
      <c r="A7" s="54">
        <v>1</v>
      </c>
      <c r="B7" s="29" t="s">
        <v>176</v>
      </c>
      <c r="C7" s="29" t="s">
        <v>177</v>
      </c>
      <c r="D7" s="29" t="str">
        <f>IF(OR(NOT(ConfigureSSHKeys=FALSE),ISBLANK(ConfigureSSHKeys)),CONCATENATE("SSH_",UserAccount,"_auk"),"")</f>
        <v/>
      </c>
    </row>
    <row r="8" spans="1:4" ht="30" customHeight="1" x14ac:dyDescent="0.25">
      <c r="A8" s="182" t="s">
        <v>178</v>
      </c>
      <c r="B8" s="193" t="s">
        <v>304</v>
      </c>
      <c r="C8" s="29" t="s">
        <v>179</v>
      </c>
      <c r="D8" s="44" t="str">
        <f>IF(OR(NOT(ConfigureSSHKeys=FALSE),ISBLANK(ConfigureSSHKeys)),"&lt;Leave Empty&gt;","")</f>
        <v/>
      </c>
    </row>
    <row r="9" spans="1:4" x14ac:dyDescent="0.25">
      <c r="A9" s="183"/>
      <c r="B9" s="194"/>
      <c r="C9" s="29" t="s">
        <v>180</v>
      </c>
      <c r="D9" s="44" t="str">
        <f>IF(OR(NOT(ConfigureSSHKeys=FALSE),ISBLANK(ConfigureSSHKeys)),"&lt;Leave Empty&gt;","")</f>
        <v/>
      </c>
    </row>
    <row r="10" spans="1:4" x14ac:dyDescent="0.25">
      <c r="A10" s="183"/>
      <c r="B10" s="194"/>
      <c r="C10" s="29" t="s">
        <v>181</v>
      </c>
      <c r="D10" s="44" t="str">
        <f>IF(OR(NOT(ConfigureSSHKeys=FALSE),ISBLANK(ConfigureSSHKeys)),"&lt;Leave Empty&gt;","")</f>
        <v/>
      </c>
    </row>
    <row r="11" spans="1:4" x14ac:dyDescent="0.25">
      <c r="A11" s="183"/>
      <c r="B11" s="194"/>
      <c r="C11" s="29" t="s">
        <v>182</v>
      </c>
      <c r="D11" s="44" t="str">
        <f>IF(OR(NOT(ConfigureSSHKeys=FALSE),ISBLANK(ConfigureSSHKeys)),"&lt;Leave Empty&gt;","")</f>
        <v/>
      </c>
    </row>
    <row r="12" spans="1:4" x14ac:dyDescent="0.25">
      <c r="A12" s="184"/>
      <c r="B12" s="195"/>
      <c r="C12" s="29" t="s">
        <v>183</v>
      </c>
      <c r="D12" s="44" t="str">
        <f>IF(OR(NOT(ConfigureSSHKeys=FALSE),ISBLANK(ConfigureSSHKeys)),"&lt;Key string of OPENSSH format&gt;","")</f>
        <v/>
      </c>
    </row>
    <row r="15" spans="1:4" x14ac:dyDescent="0.25">
      <c r="A15"/>
      <c r="B15"/>
      <c r="C15"/>
      <c r="D15"/>
    </row>
    <row r="16" spans="1:4" x14ac:dyDescent="0.25">
      <c r="A16"/>
      <c r="B16"/>
      <c r="C16"/>
      <c r="D16"/>
    </row>
    <row r="17" spans="1:4" x14ac:dyDescent="0.25">
      <c r="A17"/>
      <c r="B17"/>
      <c r="C17"/>
      <c r="D17"/>
    </row>
    <row r="18" spans="1:4" x14ac:dyDescent="0.25">
      <c r="A18"/>
      <c r="B18"/>
      <c r="C18"/>
      <c r="D18"/>
    </row>
    <row r="19" spans="1:4" x14ac:dyDescent="0.25">
      <c r="A19"/>
      <c r="B19"/>
      <c r="C19"/>
      <c r="D19"/>
    </row>
    <row r="20" spans="1:4" x14ac:dyDescent="0.25">
      <c r="A20"/>
      <c r="B20"/>
      <c r="C20"/>
      <c r="D20"/>
    </row>
    <row r="21" spans="1:4" x14ac:dyDescent="0.25">
      <c r="A21"/>
      <c r="B21"/>
      <c r="C21"/>
      <c r="D21"/>
    </row>
    <row r="22" spans="1:4" x14ac:dyDescent="0.25">
      <c r="A22"/>
      <c r="B22"/>
      <c r="C22"/>
      <c r="D22"/>
    </row>
    <row r="23" spans="1:4" x14ac:dyDescent="0.25">
      <c r="A23"/>
      <c r="B23"/>
      <c r="C23"/>
      <c r="D23"/>
    </row>
    <row r="24" spans="1:4" x14ac:dyDescent="0.25">
      <c r="A24"/>
      <c r="B24"/>
      <c r="C24"/>
      <c r="D24"/>
    </row>
    <row r="25" spans="1:4" x14ac:dyDescent="0.25">
      <c r="A25"/>
      <c r="B25"/>
      <c r="C25"/>
      <c r="D25"/>
    </row>
    <row r="26" spans="1:4" x14ac:dyDescent="0.25">
      <c r="A26"/>
      <c r="B26"/>
      <c r="C26"/>
      <c r="D26"/>
    </row>
    <row r="27" spans="1:4" x14ac:dyDescent="0.25">
      <c r="A27"/>
      <c r="B27"/>
      <c r="C27"/>
      <c r="D27"/>
    </row>
    <row r="28" spans="1:4" x14ac:dyDescent="0.25">
      <c r="A28"/>
      <c r="B28"/>
      <c r="C28"/>
      <c r="D28"/>
    </row>
    <row r="29" spans="1:4" x14ac:dyDescent="0.25">
      <c r="A29"/>
      <c r="B29"/>
      <c r="C29"/>
      <c r="D29"/>
    </row>
    <row r="30" spans="1:4" x14ac:dyDescent="0.25">
      <c r="A30"/>
      <c r="B30"/>
      <c r="C30"/>
      <c r="D30"/>
    </row>
    <row r="31" spans="1:4" x14ac:dyDescent="0.25">
      <c r="A31"/>
      <c r="B31"/>
      <c r="C31"/>
      <c r="D31"/>
    </row>
    <row r="32" spans="1:4" x14ac:dyDescent="0.25">
      <c r="A32"/>
      <c r="B32"/>
      <c r="C32"/>
      <c r="D32"/>
    </row>
    <row r="33" spans="1:1" x14ac:dyDescent="0.25">
      <c r="A33"/>
    </row>
    <row r="34" spans="1:1" x14ac:dyDescent="0.25">
      <c r="A34"/>
    </row>
    <row r="35" spans="1:1" x14ac:dyDescent="0.25">
      <c r="A35"/>
    </row>
    <row r="36" spans="1:1" x14ac:dyDescent="0.25">
      <c r="A36"/>
    </row>
    <row r="37" spans="1:1" x14ac:dyDescent="0.25">
      <c r="A37"/>
    </row>
    <row r="38" spans="1:1" x14ac:dyDescent="0.25">
      <c r="A38"/>
    </row>
    <row r="39" spans="1:1" x14ac:dyDescent="0.25">
      <c r="A39"/>
    </row>
    <row r="40" spans="1:1" x14ac:dyDescent="0.25">
      <c r="A40"/>
    </row>
    <row r="41" spans="1:1" x14ac:dyDescent="0.25">
      <c r="A41"/>
    </row>
  </sheetData>
  <mergeCells count="2">
    <mergeCell ref="A8:A12"/>
    <mergeCell ref="B8:B12"/>
  </mergeCells>
  <pageMargins left="0.7" right="0.7" top="0.75" bottom="0.75" header="0.3" footer="0.3"/>
  <pageSetup paperSize="9" orientation="portrait" r:id="rId1"/>
  <headerFooter>
    <oddFooter>&amp;C_x000D_&amp;1#&amp;"Calibri"&amp;10&amp;K000000 DSV internal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C000"/>
  </sheetPr>
  <dimension ref="A1:F290"/>
  <sheetViews>
    <sheetView zoomScaleNormal="100" workbookViewId="0">
      <selection activeCell="D21" sqref="D21"/>
    </sheetView>
  </sheetViews>
  <sheetFormatPr defaultRowHeight="15" x14ac:dyDescent="0.25"/>
  <cols>
    <col min="1" max="1" width="17.5703125" style="49" bestFit="1" customWidth="1"/>
    <col min="2" max="2" width="20.140625" style="50" bestFit="1" customWidth="1"/>
    <col min="3" max="3" width="37.28515625" style="32" bestFit="1" customWidth="1"/>
    <col min="4" max="4" width="69.7109375" style="8" customWidth="1"/>
    <col min="5" max="5" width="73.42578125" bestFit="1" customWidth="1"/>
    <col min="6" max="6" width="46" style="32" customWidth="1"/>
  </cols>
  <sheetData>
    <row r="1" spans="1:6" x14ac:dyDescent="0.25">
      <c r="A1" s="48" t="s">
        <v>245</v>
      </c>
      <c r="B1" s="114"/>
      <c r="C1" s="113"/>
      <c r="D1" s="114"/>
      <c r="E1" s="114"/>
    </row>
    <row r="2" spans="1:6" x14ac:dyDescent="0.25">
      <c r="A2" s="118"/>
      <c r="B2" s="114"/>
      <c r="C2" s="113"/>
      <c r="D2" s="114"/>
      <c r="E2" s="114"/>
    </row>
    <row r="3" spans="1:6" x14ac:dyDescent="0.25">
      <c r="A3" s="16"/>
      <c r="B3"/>
      <c r="C3" s="25"/>
      <c r="D3"/>
    </row>
    <row r="4" spans="1:6" ht="30" x14ac:dyDescent="0.25">
      <c r="A4" s="16"/>
      <c r="B4"/>
      <c r="C4" s="35" t="s">
        <v>306</v>
      </c>
      <c r="D4" s="68">
        <v>1</v>
      </c>
    </row>
    <row r="5" spans="1:6" x14ac:dyDescent="0.25">
      <c r="A5" s="16"/>
      <c r="B5"/>
      <c r="C5" s="25"/>
      <c r="D5"/>
    </row>
    <row r="6" spans="1:6" x14ac:dyDescent="0.25">
      <c r="A6" s="16"/>
      <c r="B6"/>
      <c r="C6" s="25"/>
      <c r="D6"/>
    </row>
    <row r="7" spans="1:6" ht="45" x14ac:dyDescent="0.25">
      <c r="A7" s="16"/>
      <c r="B7"/>
      <c r="C7" s="35" t="s">
        <v>565</v>
      </c>
      <c r="D7" s="59"/>
    </row>
    <row r="8" spans="1:6" ht="15.75" thickBot="1" x14ac:dyDescent="0.3">
      <c r="A8" s="16"/>
      <c r="B8"/>
    </row>
    <row r="9" spans="1:6" s="66" customFormat="1" ht="16.5" thickTop="1" thickBot="1" x14ac:dyDescent="0.3">
      <c r="C9" s="67"/>
      <c r="F9" s="64"/>
    </row>
    <row r="10" spans="1:6" ht="15.75" thickTop="1" x14ac:dyDescent="0.25">
      <c r="A10" s="16"/>
      <c r="B10"/>
      <c r="C10" s="25"/>
      <c r="D10"/>
    </row>
    <row r="11" spans="1:6" x14ac:dyDescent="0.25">
      <c r="A11" s="23" t="s">
        <v>307</v>
      </c>
      <c r="B11"/>
      <c r="C11" s="25"/>
      <c r="D11"/>
    </row>
    <row r="12" spans="1:6" x14ac:dyDescent="0.25">
      <c r="A12" s="16"/>
      <c r="B12"/>
      <c r="C12" s="25"/>
      <c r="D12"/>
    </row>
    <row r="13" spans="1:6" ht="30" x14ac:dyDescent="0.25">
      <c r="A13" s="16"/>
      <c r="B13"/>
      <c r="C13" s="35" t="s">
        <v>305</v>
      </c>
      <c r="D13" s="59"/>
    </row>
    <row r="14" spans="1:6" x14ac:dyDescent="0.25">
      <c r="A14" s="16"/>
      <c r="B14"/>
      <c r="C14" s="69"/>
      <c r="D14" s="69"/>
    </row>
    <row r="15" spans="1:6" x14ac:dyDescent="0.25">
      <c r="A15" s="16"/>
      <c r="B15"/>
      <c r="C15" s="69"/>
      <c r="D15" s="69"/>
    </row>
    <row r="16" spans="1:6" x14ac:dyDescent="0.25">
      <c r="A16"/>
      <c r="B16"/>
      <c r="C16" s="25"/>
      <c r="D16"/>
    </row>
    <row r="17" spans="1:6" x14ac:dyDescent="0.25">
      <c r="A17" s="47" t="s">
        <v>67</v>
      </c>
      <c r="B17" s="23" t="s">
        <v>68</v>
      </c>
      <c r="C17" s="35" t="s">
        <v>59</v>
      </c>
      <c r="D17" s="23" t="s">
        <v>60</v>
      </c>
      <c r="E17" s="23" t="s">
        <v>299</v>
      </c>
      <c r="F17" s="33" t="s">
        <v>300</v>
      </c>
    </row>
    <row r="18" spans="1:6" x14ac:dyDescent="0.25">
      <c r="A18" s="182">
        <v>1</v>
      </c>
      <c r="B18" s="182" t="s">
        <v>195</v>
      </c>
      <c r="C18" s="30" t="s">
        <v>196</v>
      </c>
      <c r="D18" s="29" t="str">
        <f>IF(OR(NOT(ConfigureAS2=FALSE),ISBLANK(ConfigureAS2)),"Partner","")</f>
        <v/>
      </c>
    </row>
    <row r="19" spans="1:6" x14ac:dyDescent="0.25">
      <c r="A19" s="184"/>
      <c r="B19" s="184"/>
      <c r="C19" s="30" t="s">
        <v>198</v>
      </c>
      <c r="D19" s="29" t="str">
        <f>IF(OR(NOT(ConfigureAS2=FALSE),ISBLANK(ConfigureAS2)),"Create New Identity","")</f>
        <v/>
      </c>
    </row>
    <row r="20" spans="1:6" x14ac:dyDescent="0.25">
      <c r="A20" s="182">
        <v>2</v>
      </c>
      <c r="B20" s="182" t="s">
        <v>199</v>
      </c>
      <c r="C20" s="30" t="s">
        <v>246</v>
      </c>
      <c r="D20" s="29" t="str">
        <f>IF(OR(NOT(ConfigureAS2=FALSE),ISBLANK(ConfigureAS2)),UPPER(CONCATENATE(PartnerDesignation,IF(NOT(ISBLANK(AS2VANSPartner)),CONCATENATE("_",AS2VANSPartner),""),IF(NOT(ISBLANK(AS2MessageType1)),CONCATENATE("_",AS2MessageType1),""),"_AS2")),"")</f>
        <v/>
      </c>
    </row>
    <row r="21" spans="1:6" x14ac:dyDescent="0.25">
      <c r="A21" s="184"/>
      <c r="B21" s="184"/>
      <c r="C21" s="30" t="s">
        <v>200</v>
      </c>
      <c r="D21" s="59"/>
      <c r="E21" s="57"/>
      <c r="F21" s="34" t="s">
        <v>201</v>
      </c>
    </row>
    <row r="22" spans="1:6" x14ac:dyDescent="0.25">
      <c r="A22" s="182">
        <v>3</v>
      </c>
      <c r="B22" s="182" t="s">
        <v>202</v>
      </c>
      <c r="C22" s="30" t="s">
        <v>203</v>
      </c>
      <c r="D22" s="29" t="str">
        <f>IF(OR(NOT(ConfigureAS2=FALSE),ISBLANK(ConfigureAS2)),UPPER(CONCATENATE(PartnerDesignation,IF(NOT(ISBLANK(AS2VANSPartner)),CONCATENATE("_",AS2VANSPartner),""),IF(NOT(ISBLANK(AS2MessageType1)),CONCATENATE("_",AS2MessageType1),""),"_AS2")),"")</f>
        <v/>
      </c>
    </row>
    <row r="23" spans="1:6" x14ac:dyDescent="0.25">
      <c r="A23" s="183"/>
      <c r="B23" s="183"/>
      <c r="C23" s="30" t="s">
        <v>204</v>
      </c>
      <c r="D23" s="29" t="str">
        <f>IF(OR(NOT(ConfigureAS2=FALSE),ISBLANK(ConfigureAS2)),"DSV_SA_HTTP_CNXPX_GROUP_cf","")</f>
        <v/>
      </c>
      <c r="F23" s="70"/>
    </row>
    <row r="24" spans="1:6" x14ac:dyDescent="0.25">
      <c r="A24" s="183"/>
      <c r="B24" s="183"/>
      <c r="C24" s="30" t="s">
        <v>2</v>
      </c>
      <c r="D24" s="59"/>
      <c r="E24" s="57"/>
      <c r="F24" s="34" t="s">
        <v>205</v>
      </c>
    </row>
    <row r="25" spans="1:6" ht="30" x14ac:dyDescent="0.25">
      <c r="A25" s="183"/>
      <c r="B25" s="183"/>
      <c r="C25" s="30" t="s">
        <v>3</v>
      </c>
      <c r="D25" s="44" t="str">
        <f>IF(OR(NOT(ConfigureAS2=FALSE),ISBLANK(ConfigureAS2)),"&lt;Leave Empty&gt;","")</f>
        <v/>
      </c>
      <c r="F25" s="34" t="s">
        <v>206</v>
      </c>
    </row>
    <row r="26" spans="1:6" ht="30" x14ac:dyDescent="0.25">
      <c r="A26" s="183"/>
      <c r="B26" s="183"/>
      <c r="C26" s="30" t="s">
        <v>1</v>
      </c>
      <c r="D26" s="44" t="str">
        <f>IF(OR(NOT(ConfigureAS2=FALSE),ISBLANK(ConfigureAS2)),"&lt;Leave Empty&gt;","")</f>
        <v/>
      </c>
      <c r="F26" s="34" t="s">
        <v>206</v>
      </c>
    </row>
    <row r="27" spans="1:6" x14ac:dyDescent="0.25">
      <c r="A27" s="183"/>
      <c r="B27" s="183"/>
      <c r="C27" s="30" t="s">
        <v>207</v>
      </c>
      <c r="D27" s="29" t="str">
        <f>IF(OR(NOT(ConfigureAS2=FALSE),ISBLANK(ConfigureAS2)),"300","")</f>
        <v/>
      </c>
    </row>
    <row r="28" spans="1:6" x14ac:dyDescent="0.25">
      <c r="A28" s="183"/>
      <c r="B28" s="183"/>
      <c r="C28" s="30" t="s">
        <v>208</v>
      </c>
      <c r="D28" s="44" t="str">
        <f>IF(OR(NOT(ConfigureAS2=FALSE),ISBLANK(ConfigureAS2)),"&lt;Leave Empty&gt;","")</f>
        <v/>
      </c>
    </row>
    <row r="29" spans="1:6" x14ac:dyDescent="0.25">
      <c r="A29" s="183"/>
      <c r="B29" s="183"/>
      <c r="C29" s="30" t="s">
        <v>209</v>
      </c>
      <c r="D29" s="44" t="str">
        <f>IF(OR(NOT(ConfigureAS2=FALSE),ISBLANK(ConfigureAS2)),"&lt;Leave Empty&gt;","")</f>
        <v/>
      </c>
    </row>
    <row r="30" spans="1:6" x14ac:dyDescent="0.25">
      <c r="A30" s="183"/>
      <c r="B30" s="183"/>
      <c r="C30" s="30" t="s">
        <v>210</v>
      </c>
      <c r="D30" s="29" t="str">
        <f>IF(OR(NOT(ConfigureAS2=FALSE),ISBLANK(ConfigureAS2)),"300","")</f>
        <v/>
      </c>
    </row>
    <row r="31" spans="1:6" ht="45" x14ac:dyDescent="0.25">
      <c r="A31" s="183"/>
      <c r="B31" s="183"/>
      <c r="C31" s="30" t="s">
        <v>211</v>
      </c>
      <c r="D31" s="44" t="str">
        <f>IF(OR(NOT(ConfigureAS2=FALSE),ISBLANK(ConfigureAS2)),"&lt;Leave As Is&gt;","")</f>
        <v/>
      </c>
      <c r="F31" s="34" t="s">
        <v>212</v>
      </c>
    </row>
    <row r="32" spans="1:6" x14ac:dyDescent="0.25">
      <c r="A32" s="183"/>
      <c r="B32" s="183"/>
      <c r="C32" s="30" t="s">
        <v>213</v>
      </c>
      <c r="D32" s="44" t="str">
        <f>IF(OR(NOT(ConfigureAS2=FALSE),ISBLANK(ConfigureAS2)),"&lt;Leave Empty&gt;","")</f>
        <v/>
      </c>
    </row>
    <row r="33" spans="1:6" x14ac:dyDescent="0.25">
      <c r="A33" s="183"/>
      <c r="B33" s="183"/>
      <c r="C33" s="30" t="s">
        <v>214</v>
      </c>
      <c r="D33" s="44" t="str">
        <f>IF(OR(NOT(ConfigureAS2=FALSE),ISBLANK(ConfigureAS2)),"&lt;Leave As Is&gt;","")</f>
        <v/>
      </c>
    </row>
    <row r="34" spans="1:6" x14ac:dyDescent="0.25">
      <c r="A34" s="183"/>
      <c r="B34" s="183"/>
      <c r="C34" s="30" t="s">
        <v>215</v>
      </c>
      <c r="D34" s="44" t="str">
        <f>IF(OR(NOT(ConfigureAS2=FALSE),ISBLANK(ConfigureAS2)),"&lt;Leave As Is&gt;","")</f>
        <v/>
      </c>
    </row>
    <row r="35" spans="1:6" x14ac:dyDescent="0.25">
      <c r="A35" s="184"/>
      <c r="B35" s="184"/>
      <c r="C35" s="30" t="s">
        <v>216</v>
      </c>
      <c r="D35" s="44" t="str">
        <f>IF(OR(NOT(ConfigureAS2=FALSE),ISBLANK(ConfigureAS2)),"&lt;Leave As Is&gt;","")</f>
        <v/>
      </c>
    </row>
    <row r="36" spans="1:6" x14ac:dyDescent="0.25">
      <c r="A36" s="182">
        <v>4</v>
      </c>
      <c r="B36" s="182" t="s">
        <v>217</v>
      </c>
      <c r="C36" s="30" t="s">
        <v>218</v>
      </c>
      <c r="D36" s="29" t="str">
        <f>IF(OR(NOT(ConfigureAS2=FALSE),ISBLANK(ConfigureAS2)),"Signed Detached Encrypted","")</f>
        <v/>
      </c>
    </row>
    <row r="37" spans="1:6" ht="30" x14ac:dyDescent="0.25">
      <c r="A37" s="183"/>
      <c r="B37" s="183"/>
      <c r="C37" s="30" t="s">
        <v>219</v>
      </c>
      <c r="D37" s="29" t="str">
        <f>IF(OR(NOT(ConfigureAS2=FALSE),ISBLANK(ConfigureAS2)),"Application","")</f>
        <v/>
      </c>
      <c r="F37" s="34" t="s">
        <v>566</v>
      </c>
    </row>
    <row r="38" spans="1:6" ht="30" x14ac:dyDescent="0.25">
      <c r="A38" s="183"/>
      <c r="B38" s="183"/>
      <c r="C38" s="30" t="s">
        <v>220</v>
      </c>
      <c r="D38" s="58"/>
      <c r="E38" s="112"/>
      <c r="F38" s="34" t="s">
        <v>566</v>
      </c>
    </row>
    <row r="39" spans="1:6" ht="30" x14ac:dyDescent="0.25">
      <c r="A39" s="183"/>
      <c r="B39" s="183"/>
      <c r="C39" s="30" t="s">
        <v>222</v>
      </c>
      <c r="D39" s="29" t="str">
        <f>IF(OR(NOT(ConfigureAS2=FALSE),ISBLANK(ConfigureAS2)),"None","")</f>
        <v/>
      </c>
      <c r="F39" s="34" t="s">
        <v>566</v>
      </c>
    </row>
    <row r="40" spans="1:6" x14ac:dyDescent="0.25">
      <c r="A40" s="183"/>
      <c r="B40" s="183"/>
      <c r="C40" s="30" t="s">
        <v>223</v>
      </c>
      <c r="D40" s="44" t="str">
        <f>IF(OR(NOT(ConfigureAS2=FALSE),ISBLANK(ConfigureAS2)),IF(ISBLANK(TrustedDigitalCertificate),"&lt;Enter the Trusted Certificate in the correct worksheet&gt;",TrustedDigitalCertificate),"")</f>
        <v/>
      </c>
      <c r="E40" s="44" t="str">
        <f>IF(OR(NOT(ConfigureAS2=FALSE),ISBLANK(ConfigureAS2)),IF(ISBLANK(TrustedDigitalCertificateTest),"&lt;Enter the Trusted Certificate for the TEST environment in the correct worksheet&gt;",TrustedDigitalCertificateTest),"")</f>
        <v/>
      </c>
    </row>
    <row r="41" spans="1:6" x14ac:dyDescent="0.25">
      <c r="A41" s="183"/>
      <c r="B41" s="183"/>
      <c r="C41" s="30" t="s">
        <v>224</v>
      </c>
      <c r="D41" s="44" t="str">
        <f>IF(OR(NOT(ConfigureAS2=FALSE),ISBLANK(ConfigureAS2)),IF(ISBLANK(TrustedDigitalCertificate),"&lt;Enter the Trusted Certificate in the correct worksheet&gt;",TrustedDigitalCertificate),"")</f>
        <v/>
      </c>
      <c r="E41" s="44" t="str">
        <f>IF(OR(NOT(ConfigureAS2=FALSE),ISBLANK(ConfigureAS2)),IF(ISBLANK(TrustedDigitalCertificateTest),"&lt;Enter the Trusted Certificate for the TEST environment in the correct worksheet&gt;",TrustedDigitalCertificateTest),"")</f>
        <v/>
      </c>
    </row>
    <row r="42" spans="1:6" x14ac:dyDescent="0.25">
      <c r="A42" s="183"/>
      <c r="B42" s="183"/>
      <c r="C42" s="30" t="s">
        <v>225</v>
      </c>
      <c r="D42" s="29" t="str">
        <f>IF(OR(NOT(ConfigureAS2=FALSE),ISBLANK(ConfigureAS2)),"Triple DES 168 CBC with PKCS5 padding","")</f>
        <v/>
      </c>
    </row>
    <row r="43" spans="1:6" ht="30" x14ac:dyDescent="0.25">
      <c r="A43" s="183"/>
      <c r="B43" s="183"/>
      <c r="C43" s="30" t="s">
        <v>226</v>
      </c>
      <c r="D43" s="29" t="str">
        <f>IF(OR(NOT(ConfigureAS2=FALSE),ISBLANK(ConfigureAS2)),"SHA256","")</f>
        <v/>
      </c>
      <c r="F43" s="34" t="s">
        <v>566</v>
      </c>
    </row>
    <row r="44" spans="1:6" x14ac:dyDescent="0.25">
      <c r="A44" s="184"/>
      <c r="B44" s="184"/>
      <c r="C44" s="30" t="s">
        <v>227</v>
      </c>
      <c r="D44" s="44" t="str">
        <f>IF(OR(NOT(ConfigureAS2=FALSE),ISBLANK(ConfigureAS2)),"&lt;Checked&gt;","")</f>
        <v/>
      </c>
    </row>
    <row r="45" spans="1:6" ht="30" x14ac:dyDescent="0.25">
      <c r="A45" s="182">
        <v>5</v>
      </c>
      <c r="B45" s="182" t="s">
        <v>228</v>
      </c>
      <c r="C45" s="30" t="s">
        <v>229</v>
      </c>
      <c r="D45" s="29" t="str">
        <f>IF(OR(NOT(ConfigureAS2=FALSE),ISBLANK(ConfigureAS2)),"NONE","")</f>
        <v/>
      </c>
      <c r="F45" s="34" t="s">
        <v>566</v>
      </c>
    </row>
    <row r="46" spans="1:6" x14ac:dyDescent="0.25">
      <c r="A46" s="183"/>
      <c r="B46" s="183"/>
      <c r="C46" s="30" t="s">
        <v>230</v>
      </c>
      <c r="D46" s="29" t="str">
        <f>IF(OR(NOT(ConfigureAS2=FALSE),ISBLANK(ConfigureAS2)),"300","")</f>
        <v/>
      </c>
    </row>
    <row r="47" spans="1:6" ht="30" x14ac:dyDescent="0.25">
      <c r="A47" s="183"/>
      <c r="B47" s="183"/>
      <c r="C47" s="30" t="s">
        <v>231</v>
      </c>
      <c r="D47" s="29" t="str">
        <f>IF(OR(NOT(ConfigureAS2=FALSE),ISBLANK(ConfigureAS2)),"Synchronous","")</f>
        <v/>
      </c>
      <c r="F47" s="34" t="s">
        <v>566</v>
      </c>
    </row>
    <row r="48" spans="1:6" ht="30" x14ac:dyDescent="0.25">
      <c r="A48" s="183"/>
      <c r="B48" s="183"/>
      <c r="C48" s="30" t="s">
        <v>232</v>
      </c>
      <c r="D48" s="30" t="str">
        <f>IF(OR(NOT(ConfigureAS2=FALSE),ISBLANK(ConfigureAS2)),"&lt;Leave Empty&gt; (For Delivery Mode Synchronous)"&amp;CHAR(10)&amp;"http://b2b.dsv.net/b2bhttp/inbound/as2 (For Delivery Mode Asynchronous)","")</f>
        <v/>
      </c>
      <c r="F48" s="34" t="s">
        <v>566</v>
      </c>
    </row>
    <row r="49" spans="1:6" ht="30" x14ac:dyDescent="0.25">
      <c r="A49" s="184"/>
      <c r="B49" s="184"/>
      <c r="C49" s="30" t="s">
        <v>233</v>
      </c>
      <c r="D49" s="44" t="str">
        <f>IF(OR(NOT(ConfigureAS2=FALSE),ISBLANK(ConfigureAS2)),"&lt;Unchecked&gt;","")</f>
        <v/>
      </c>
      <c r="F49" s="34" t="s">
        <v>566</v>
      </c>
    </row>
    <row r="53" spans="1:6" x14ac:dyDescent="0.25">
      <c r="A53" s="61" t="s">
        <v>308</v>
      </c>
    </row>
    <row r="55" spans="1:6" x14ac:dyDescent="0.25">
      <c r="A55" s="47" t="s">
        <v>67</v>
      </c>
      <c r="B55" s="23" t="s">
        <v>68</v>
      </c>
      <c r="C55" s="35" t="s">
        <v>59</v>
      </c>
      <c r="D55" s="23" t="s">
        <v>60</v>
      </c>
    </row>
    <row r="56" spans="1:6" x14ac:dyDescent="0.25">
      <c r="A56" s="54">
        <v>1</v>
      </c>
      <c r="B56" s="55" t="s">
        <v>250</v>
      </c>
      <c r="C56" s="30" t="s">
        <v>251</v>
      </c>
      <c r="D56" s="29" t="str">
        <f>IF(OR(NOT(ConfigureAS2=FALSE),ISBLANK(ConfigureAS2)),"DSVAS2_&lt;DEV|TEST|QA|PROD&gt;","")</f>
        <v/>
      </c>
    </row>
    <row r="57" spans="1:6" x14ac:dyDescent="0.25">
      <c r="A57" s="54"/>
      <c r="B57" s="55"/>
      <c r="C57" s="30" t="s">
        <v>197</v>
      </c>
      <c r="D57" s="29" t="str">
        <f>IF(OR(NOT(ConfigureAS2=FALSE),ISBLANK(ConfigureAS2)),UPPER(CONCATENATE(PartnerDesignation,IF(NOT(ISBLANK(AS2VANSPartner)),CONCATENATE("_",AS2VANSPartner),""),IF(NOT(ISBLANK(AS2MessageType1)),CONCATENATE("_",AS2MessageType1),""),"_AS2")),"")</f>
        <v/>
      </c>
    </row>
    <row r="58" spans="1:6" x14ac:dyDescent="0.25">
      <c r="A58" s="54">
        <v>2</v>
      </c>
      <c r="B58" s="55" t="s">
        <v>252</v>
      </c>
      <c r="C58" s="30" t="s">
        <v>253</v>
      </c>
      <c r="D58" s="29" t="str">
        <f>IF(OR(NOT(ConfigureAS2=FALSE),ISBLANK(ConfigureAS2)),"300","")</f>
        <v/>
      </c>
    </row>
    <row r="59" spans="1:6" x14ac:dyDescent="0.25">
      <c r="A59" s="54"/>
      <c r="B59" s="55"/>
      <c r="C59" s="56" t="s">
        <v>254</v>
      </c>
      <c r="D59" s="29" t="str">
        <f>IF(OR(NOT(ConfigureAS2=FALSE),ISBLANK(ConfigureAS2)),"5","")</f>
        <v/>
      </c>
    </row>
    <row r="60" spans="1:6" x14ac:dyDescent="0.25">
      <c r="A60" s="54"/>
      <c r="B60" s="55"/>
      <c r="C60" s="30" t="s">
        <v>255</v>
      </c>
      <c r="D60" s="44" t="str">
        <f>IF(OR(NOT(ConfigureAS2=FALSE),ISBLANK(ConfigureAS2)),"&lt;Checked&gt;","")</f>
        <v/>
      </c>
    </row>
    <row r="61" spans="1:6" x14ac:dyDescent="0.25">
      <c r="A61" s="54"/>
      <c r="B61" s="55"/>
      <c r="C61" s="30" t="s">
        <v>256</v>
      </c>
      <c r="D61" s="44" t="str">
        <f>IF(OR(NOT(ConfigureAS2=FALSE),ISBLANK(ConfigureAS2)),"&lt;Checked&gt;","")</f>
        <v/>
      </c>
    </row>
    <row r="62" spans="1:6" ht="30" x14ac:dyDescent="0.25">
      <c r="A62" s="54"/>
      <c r="B62" s="55"/>
      <c r="C62" s="30" t="s">
        <v>257</v>
      </c>
      <c r="D62" s="44" t="str">
        <f>IF(OR(NOT(ConfigureAS2=FALSE),ISBLANK(ConfigureAS2)),"&lt;Unchecked&gt;","")</f>
        <v/>
      </c>
    </row>
    <row r="63" spans="1:6" x14ac:dyDescent="0.25">
      <c r="A63" s="54"/>
      <c r="B63" s="55"/>
      <c r="C63" s="30" t="s">
        <v>258</v>
      </c>
      <c r="D63" s="29" t="str">
        <f>IF(OR(NOT(ConfigureAS2=FALSE),ISBLANK(ConfigureAS2)),IF(Framework="LW","Invoke Business Process Directly","Store AS2 Messages in Mailbox"),"")</f>
        <v/>
      </c>
    </row>
    <row r="64" spans="1:6" x14ac:dyDescent="0.25">
      <c r="A64" s="54">
        <v>3</v>
      </c>
      <c r="B64" s="55" t="str">
        <f>IF(Framework="LW","Business Process","Mailbox")</f>
        <v>Mailbox</v>
      </c>
      <c r="C64" s="30" t="str">
        <f>IF(Framework="LW","Inbound Success Business Process","Select Existing Parent Mailbox")</f>
        <v>Select Existing Parent Mailbox</v>
      </c>
      <c r="D64" s="29" t="str">
        <f>IF(OR(NOT(ConfigureAS2=FALSE),ISBLANK(ConfigureAS2)),IF(Framework="LW","LW_BP_RECEIVE_AS2","&lt;Select the parent mailbox in /DSV_ACCOUNTS_mb/DSV_AS2_mb/&gt;"),"")</f>
        <v/>
      </c>
    </row>
    <row r="65" spans="1:6" x14ac:dyDescent="0.25">
      <c r="A65" s="54"/>
      <c r="B65" s="55"/>
      <c r="C65" s="30" t="str">
        <f>IF(Framework="LW","Inbound Error Business Process","")</f>
        <v/>
      </c>
      <c r="D65" s="29" t="str">
        <f>IF(OR(NOT(ConfigureAS2=FALSE),ISBLANK(ConfigureAS2)),IF(Framework="LW","[Not Applicable]",""),"")</f>
        <v/>
      </c>
    </row>
    <row r="66" spans="1:6" x14ac:dyDescent="0.25">
      <c r="A66" s="54"/>
      <c r="B66" s="55"/>
      <c r="C66" s="30" t="str">
        <f>IF(Framework="LW","Set Message File Name in Process Data","")</f>
        <v/>
      </c>
      <c r="D66" s="44" t="str">
        <f>IF(OR(NOT(ConfigureAS2=FALSE),ISBLANK(ConfigureAS2)),IF(Framework="LW","&lt;Checked&gt;",""),"")</f>
        <v/>
      </c>
    </row>
    <row r="67" spans="1:6" x14ac:dyDescent="0.25">
      <c r="A67" s="54"/>
      <c r="B67" s="55"/>
      <c r="C67" s="30" t="str">
        <f>IF(Framework="LW","Include File Name In Message","")</f>
        <v/>
      </c>
      <c r="D67" s="44" t="str">
        <f>IF(OR(NOT(ConfigureAS2=FALSE),ISBLANK(ConfigureAS2)),IF(Framework="LW","&lt;Checked&gt;",""),"")</f>
        <v/>
      </c>
    </row>
    <row r="69" spans="1:6" ht="15.75" thickBot="1" x14ac:dyDescent="0.3"/>
    <row r="70" spans="1:6" s="66" customFormat="1" ht="16.5" thickTop="1" thickBot="1" x14ac:dyDescent="0.3">
      <c r="A70" s="62"/>
      <c r="B70" s="63"/>
      <c r="C70" s="64"/>
      <c r="D70" s="65"/>
      <c r="F70" s="64"/>
    </row>
    <row r="71" spans="1:6" ht="15.75" thickTop="1" x14ac:dyDescent="0.25"/>
    <row r="72" spans="1:6" x14ac:dyDescent="0.25">
      <c r="A72" s="23" t="s">
        <v>309</v>
      </c>
      <c r="B72"/>
      <c r="C72" s="25"/>
      <c r="D72"/>
    </row>
    <row r="73" spans="1:6" x14ac:dyDescent="0.25">
      <c r="A73" s="16"/>
      <c r="B73"/>
      <c r="C73" s="25"/>
      <c r="D73"/>
    </row>
    <row r="74" spans="1:6" ht="30" x14ac:dyDescent="0.25">
      <c r="A74" s="16"/>
      <c r="B74"/>
      <c r="C74" s="35" t="s">
        <v>305</v>
      </c>
      <c r="D74" s="59"/>
    </row>
    <row r="75" spans="1:6" x14ac:dyDescent="0.25">
      <c r="A75" s="16"/>
      <c r="B75"/>
      <c r="C75" s="69"/>
      <c r="D75" s="69"/>
    </row>
    <row r="76" spans="1:6" x14ac:dyDescent="0.25">
      <c r="A76" s="16"/>
      <c r="B76"/>
      <c r="C76" s="69"/>
      <c r="D76" s="69"/>
    </row>
    <row r="77" spans="1:6" x14ac:dyDescent="0.25">
      <c r="A77"/>
      <c r="B77"/>
      <c r="C77" s="25"/>
      <c r="D77"/>
    </row>
    <row r="78" spans="1:6" x14ac:dyDescent="0.25">
      <c r="A78" s="47" t="s">
        <v>67</v>
      </c>
      <c r="B78" s="23" t="s">
        <v>68</v>
      </c>
      <c r="C78" s="35" t="s">
        <v>59</v>
      </c>
      <c r="D78" s="23" t="s">
        <v>60</v>
      </c>
      <c r="E78" s="23" t="s">
        <v>299</v>
      </c>
      <c r="F78" s="33" t="s">
        <v>300</v>
      </c>
    </row>
    <row r="79" spans="1:6" x14ac:dyDescent="0.25">
      <c r="A79" s="182">
        <v>1</v>
      </c>
      <c r="B79" s="182" t="s">
        <v>195</v>
      </c>
      <c r="C79" s="30" t="s">
        <v>196</v>
      </c>
      <c r="D79" s="29" t="str">
        <f>IF(OR(NOT(ConfigureAS2=FALSE),ISBLANK(ConfigureAS2)),"Partner","")</f>
        <v/>
      </c>
    </row>
    <row r="80" spans="1:6" x14ac:dyDescent="0.25">
      <c r="A80" s="184"/>
      <c r="B80" s="184"/>
      <c r="C80" s="30" t="s">
        <v>198</v>
      </c>
      <c r="D80" s="29" t="str">
        <f>IF(OR(NOT(ConfigureAS2=FALSE),ISBLANK(ConfigureAS2)),"Create New Identity","")</f>
        <v/>
      </c>
    </row>
    <row r="81" spans="1:6" x14ac:dyDescent="0.25">
      <c r="A81" s="182">
        <v>2</v>
      </c>
      <c r="B81" s="182" t="s">
        <v>199</v>
      </c>
      <c r="C81" s="30" t="s">
        <v>246</v>
      </c>
      <c r="D81" s="29" t="str">
        <f>IF(OR(NOT(ConfigureAS2=FALSE),ISBLANK(ConfigureAS2)),UPPER(CONCATENATE(PartnerDesignation,IF(NOT(ISBLANK(AS2VANSPartner)),CONCATENATE("_",AS2VANSPartner),""),IF(NOT(ISBLANK(AS2MessageType2)),CONCATENATE("_",AS2MessageType2),""),"_AS2")),"")</f>
        <v/>
      </c>
    </row>
    <row r="82" spans="1:6" x14ac:dyDescent="0.25">
      <c r="A82" s="184"/>
      <c r="B82" s="184"/>
      <c r="C82" s="30" t="s">
        <v>200</v>
      </c>
      <c r="D82" s="59"/>
      <c r="E82" s="57"/>
      <c r="F82" s="34" t="s">
        <v>201</v>
      </c>
    </row>
    <row r="83" spans="1:6" x14ac:dyDescent="0.25">
      <c r="A83" s="182">
        <v>3</v>
      </c>
      <c r="B83" s="182" t="s">
        <v>202</v>
      </c>
      <c r="C83" s="30" t="s">
        <v>203</v>
      </c>
      <c r="D83" s="29" t="str">
        <f>IF(OR(NOT(ConfigureAS2=FALSE),ISBLANK(ConfigureAS2)),UPPER(CONCATENATE(PartnerDesignation,IF(NOT(ISBLANK(AS2VANSPartner)),CONCATENATE("_",AS2VANSPartner),""),IF(NOT(ISBLANK(AS2MessageType2)),CONCATENATE("_",AS2MessageType2),""),"_AS2")),"")</f>
        <v/>
      </c>
    </row>
    <row r="84" spans="1:6" x14ac:dyDescent="0.25">
      <c r="A84" s="183"/>
      <c r="B84" s="183"/>
      <c r="C84" s="30" t="s">
        <v>204</v>
      </c>
      <c r="D84" s="29" t="str">
        <f>IF(OR(NOT(ConfigureAS2=FALSE),ISBLANK(ConfigureAS2)),"DSV_SA_HTTP_CNXPX_GROUP_cf","")</f>
        <v/>
      </c>
      <c r="F84" s="70"/>
    </row>
    <row r="85" spans="1:6" x14ac:dyDescent="0.25">
      <c r="A85" s="183"/>
      <c r="B85" s="183"/>
      <c r="C85" s="30" t="s">
        <v>2</v>
      </c>
      <c r="D85" s="59"/>
      <c r="E85" s="57"/>
      <c r="F85" s="34" t="s">
        <v>205</v>
      </c>
    </row>
    <row r="86" spans="1:6" ht="30" x14ac:dyDescent="0.25">
      <c r="A86" s="183"/>
      <c r="B86" s="183"/>
      <c r="C86" s="30" t="s">
        <v>3</v>
      </c>
      <c r="D86" s="44" t="str">
        <f>IF(OR(NOT(ConfigureAS2=FALSE),ISBLANK(ConfigureAS2)),"&lt;Leave Empty&gt;","")</f>
        <v/>
      </c>
      <c r="F86" s="34" t="s">
        <v>206</v>
      </c>
    </row>
    <row r="87" spans="1:6" ht="30" x14ac:dyDescent="0.25">
      <c r="A87" s="183"/>
      <c r="B87" s="183"/>
      <c r="C87" s="30" t="s">
        <v>1</v>
      </c>
      <c r="D87" s="44" t="str">
        <f>IF(OR(NOT(ConfigureAS2=FALSE),ISBLANK(ConfigureAS2)),"&lt;Leave Empty&gt;","")</f>
        <v/>
      </c>
      <c r="F87" s="34" t="s">
        <v>206</v>
      </c>
    </row>
    <row r="88" spans="1:6" x14ac:dyDescent="0.25">
      <c r="A88" s="183"/>
      <c r="B88" s="183"/>
      <c r="C88" s="30" t="s">
        <v>207</v>
      </c>
      <c r="D88" s="29" t="str">
        <f>IF(OR(NOT(ConfigureAS2=FALSE),ISBLANK(ConfigureAS2)),"300","")</f>
        <v/>
      </c>
    </row>
    <row r="89" spans="1:6" x14ac:dyDescent="0.25">
      <c r="A89" s="183"/>
      <c r="B89" s="183"/>
      <c r="C89" s="30" t="s">
        <v>208</v>
      </c>
      <c r="D89" s="44" t="str">
        <f>IF(OR(NOT(ConfigureAS2=FALSE),ISBLANK(ConfigureAS2)),"&lt;Null&gt;","")</f>
        <v/>
      </c>
    </row>
    <row r="90" spans="1:6" x14ac:dyDescent="0.25">
      <c r="A90" s="183"/>
      <c r="B90" s="183"/>
      <c r="C90" s="30" t="s">
        <v>209</v>
      </c>
      <c r="D90" s="44" t="str">
        <f>IF(OR(NOT(ConfigureAS2=FALSE),ISBLANK(ConfigureAS2)),"&lt;Null&gt;","")</f>
        <v/>
      </c>
    </row>
    <row r="91" spans="1:6" x14ac:dyDescent="0.25">
      <c r="A91" s="183"/>
      <c r="B91" s="183"/>
      <c r="C91" s="30" t="s">
        <v>210</v>
      </c>
      <c r="D91" s="29" t="str">
        <f>IF(OR(NOT(ConfigureAS2=FALSE),ISBLANK(ConfigureAS2)),"300","")</f>
        <v/>
      </c>
    </row>
    <row r="92" spans="1:6" ht="45" x14ac:dyDescent="0.25">
      <c r="A92" s="183"/>
      <c r="B92" s="183"/>
      <c r="C92" s="30" t="s">
        <v>211</v>
      </c>
      <c r="D92" s="44" t="str">
        <f>IF(OR(NOT(ConfigureAS2=FALSE),ISBLANK(ConfigureAS2)),"&lt;Leave Empty&gt;","")</f>
        <v/>
      </c>
      <c r="F92" s="34" t="s">
        <v>212</v>
      </c>
    </row>
    <row r="93" spans="1:6" x14ac:dyDescent="0.25">
      <c r="A93" s="183"/>
      <c r="B93" s="183"/>
      <c r="C93" s="30" t="s">
        <v>213</v>
      </c>
      <c r="D93" s="44" t="str">
        <f>IF(OR(NOT(ConfigureAS2=FALSE),ISBLANK(ConfigureAS2)),"&lt;Null&gt;","")</f>
        <v/>
      </c>
    </row>
    <row r="94" spans="1:6" x14ac:dyDescent="0.25">
      <c r="A94" s="183"/>
      <c r="B94" s="183"/>
      <c r="C94" s="30" t="s">
        <v>214</v>
      </c>
      <c r="D94" s="44" t="str">
        <f>IF(OR(NOT(ConfigureAS2=FALSE),ISBLANK(ConfigureAS2)),"&lt;Null&gt;","")</f>
        <v/>
      </c>
    </row>
    <row r="95" spans="1:6" x14ac:dyDescent="0.25">
      <c r="A95" s="183"/>
      <c r="B95" s="183"/>
      <c r="C95" s="30" t="s">
        <v>215</v>
      </c>
      <c r="D95" s="44" t="str">
        <f>IF(OR(NOT(ConfigureAS2=FALSE),ISBLANK(ConfigureAS2)),"&lt;Null&gt;","")</f>
        <v/>
      </c>
    </row>
    <row r="96" spans="1:6" x14ac:dyDescent="0.25">
      <c r="A96" s="184"/>
      <c r="B96" s="184"/>
      <c r="C96" s="30" t="s">
        <v>216</v>
      </c>
      <c r="D96" s="44" t="str">
        <f>IF(OR(NOT(ConfigureAS2=FALSE),ISBLANK(ConfigureAS2)),"&lt;Null&gt;","")</f>
        <v/>
      </c>
    </row>
    <row r="97" spans="1:6" x14ac:dyDescent="0.25">
      <c r="A97" s="182">
        <v>4</v>
      </c>
      <c r="B97" s="182" t="s">
        <v>217</v>
      </c>
      <c r="C97" s="30" t="s">
        <v>218</v>
      </c>
      <c r="D97" s="29" t="str">
        <f>IF(OR(NOT(ConfigureAS2=FALSE),ISBLANK(ConfigureAS2)),"Signed Detached Encrypted","")</f>
        <v/>
      </c>
    </row>
    <row r="98" spans="1:6" ht="30" x14ac:dyDescent="0.25">
      <c r="A98" s="183"/>
      <c r="B98" s="183"/>
      <c r="C98" s="30" t="s">
        <v>219</v>
      </c>
      <c r="D98" s="29" t="str">
        <f>IF(OR(NOT(ConfigureAS2=FALSE),ISBLANK(ConfigureAS2)),"Application","")</f>
        <v/>
      </c>
      <c r="F98" s="34" t="s">
        <v>566</v>
      </c>
    </row>
    <row r="99" spans="1:6" ht="30" x14ac:dyDescent="0.25">
      <c r="A99" s="183"/>
      <c r="B99" s="183"/>
      <c r="C99" s="30" t="s">
        <v>220</v>
      </c>
      <c r="D99" s="58"/>
      <c r="E99" s="57"/>
      <c r="F99" s="34" t="s">
        <v>566</v>
      </c>
    </row>
    <row r="100" spans="1:6" x14ac:dyDescent="0.25">
      <c r="A100" s="183"/>
      <c r="B100" s="183"/>
      <c r="C100" s="30" t="s">
        <v>222</v>
      </c>
      <c r="D100" s="29" t="str">
        <f>IF(OR(NOT(ConfigureAS2=FALSE),ISBLANK(ConfigureAS2)),"Use default","")</f>
        <v/>
      </c>
    </row>
    <row r="101" spans="1:6" x14ac:dyDescent="0.25">
      <c r="A101" s="183"/>
      <c r="B101" s="183"/>
      <c r="C101" s="30" t="s">
        <v>223</v>
      </c>
      <c r="D101" s="44" t="str">
        <f>IF(OR(NOT(ConfigureAS2=FALSE),ISBLANK(ConfigureAS2)),IF(ISBLANK(TrustedDigitalCertificate),"&lt;Enter the Trusted Certificate in the correct worksheet&gt;",TrustedDigitalCertificate),"")</f>
        <v/>
      </c>
    </row>
    <row r="102" spans="1:6" x14ac:dyDescent="0.25">
      <c r="A102" s="183"/>
      <c r="B102" s="183"/>
      <c r="C102" s="30" t="s">
        <v>224</v>
      </c>
      <c r="D102" s="44" t="str">
        <f>IF(OR(NOT(ConfigureAS2=FALSE),ISBLANK(ConfigureAS2)),IF(ISBLANK(TrustedDigitalCertificate),"&lt;Enter the Trusted Certificate in the correct worksheet&gt;",TrustedDigitalCertificate),"")</f>
        <v/>
      </c>
    </row>
    <row r="103" spans="1:6" x14ac:dyDescent="0.25">
      <c r="A103" s="183"/>
      <c r="B103" s="183"/>
      <c r="C103" s="30" t="s">
        <v>225</v>
      </c>
      <c r="D103" s="29" t="str">
        <f>IF(OR(NOT(ConfigureAS2=FALSE),ISBLANK(ConfigureAS2)),"Triple DES 168 CBC with PKCS5 padding","")</f>
        <v/>
      </c>
    </row>
    <row r="104" spans="1:6" ht="30" x14ac:dyDescent="0.25">
      <c r="A104" s="183"/>
      <c r="B104" s="183"/>
      <c r="C104" s="30" t="s">
        <v>226</v>
      </c>
      <c r="D104" s="29" t="str">
        <f>IF(OR(NOT(ConfigureAS2=FALSE),ISBLANK(ConfigureAS2)),"SHA256","")</f>
        <v/>
      </c>
      <c r="F104" s="34" t="s">
        <v>566</v>
      </c>
    </row>
    <row r="105" spans="1:6" x14ac:dyDescent="0.25">
      <c r="A105" s="184"/>
      <c r="B105" s="184"/>
      <c r="C105" s="30" t="s">
        <v>227</v>
      </c>
      <c r="D105" s="44" t="str">
        <f>IF(OR(NOT(ConfigureAS2=FALSE),ISBLANK(ConfigureAS2)),"&lt;Checked&gt;","")</f>
        <v/>
      </c>
    </row>
    <row r="106" spans="1:6" x14ac:dyDescent="0.25">
      <c r="A106" s="182">
        <v>5</v>
      </c>
      <c r="B106" s="182" t="s">
        <v>228</v>
      </c>
      <c r="C106" s="30" t="s">
        <v>229</v>
      </c>
      <c r="D106" s="29" t="str">
        <f>IF(OR(NOT(ConfigureAS2=FALSE),ISBLANK(ConfigureAS2)),"NONE","")</f>
        <v/>
      </c>
    </row>
    <row r="107" spans="1:6" x14ac:dyDescent="0.25">
      <c r="A107" s="183"/>
      <c r="B107" s="183"/>
      <c r="C107" s="30" t="s">
        <v>230</v>
      </c>
      <c r="D107" s="29" t="str">
        <f>IF(OR(NOT(ConfigureAS2=FALSE),ISBLANK(ConfigureAS2)),"300","")</f>
        <v/>
      </c>
    </row>
    <row r="108" spans="1:6" ht="30" x14ac:dyDescent="0.25">
      <c r="A108" s="183"/>
      <c r="B108" s="183"/>
      <c r="C108" s="30" t="s">
        <v>231</v>
      </c>
      <c r="D108" s="29" t="str">
        <f>IF(OR(NOT(ConfigureAS2=FALSE),ISBLANK(ConfigureAS2)),"Synchronous","")</f>
        <v/>
      </c>
      <c r="F108" s="34" t="s">
        <v>566</v>
      </c>
    </row>
    <row r="109" spans="1:6" ht="30" x14ac:dyDescent="0.25">
      <c r="A109" s="183"/>
      <c r="B109" s="183"/>
      <c r="C109" s="30" t="s">
        <v>232</v>
      </c>
      <c r="D109" s="30" t="str">
        <f>IF(OR(NOT(ConfigureAS2=FALSE),ISBLANK(ConfigureAS2)),"&lt;Leave Empty&gt; (For Delivery Mode Synchronous)"&amp;CHAR(10)&amp;"http://b2b.dsv.net/b2bhttp/inbound/as2 (For Delivery Mode Asynchronous)","")</f>
        <v/>
      </c>
      <c r="F109" s="34" t="s">
        <v>566</v>
      </c>
    </row>
    <row r="110" spans="1:6" x14ac:dyDescent="0.25">
      <c r="A110" s="184"/>
      <c r="B110" s="184"/>
      <c r="C110" s="30" t="s">
        <v>233</v>
      </c>
      <c r="D110" s="44" t="str">
        <f>IF(OR(NOT(ConfigureAS2=FALSE),ISBLANK(ConfigureAS2)),"&lt;Unchecked&gt;","")</f>
        <v/>
      </c>
    </row>
    <row r="114" spans="1:4" x14ac:dyDescent="0.25">
      <c r="A114" s="61" t="s">
        <v>310</v>
      </c>
    </row>
    <row r="116" spans="1:4" x14ac:dyDescent="0.25">
      <c r="A116" s="47" t="s">
        <v>67</v>
      </c>
      <c r="B116" s="23" t="s">
        <v>68</v>
      </c>
      <c r="C116" s="35" t="s">
        <v>59</v>
      </c>
      <c r="D116" s="23" t="s">
        <v>60</v>
      </c>
    </row>
    <row r="117" spans="1:4" x14ac:dyDescent="0.25">
      <c r="A117" s="54">
        <v>1</v>
      </c>
      <c r="B117" s="55" t="s">
        <v>250</v>
      </c>
      <c r="C117" s="30" t="s">
        <v>251</v>
      </c>
      <c r="D117" s="29" t="str">
        <f>IF(OR(NOT(ConfigureAS2=FALSE),ISBLANK(ConfigureAS2)),"DSVAS2_&lt;DEV|TEST|QA|PROD&gt;","")</f>
        <v/>
      </c>
    </row>
    <row r="118" spans="1:4" x14ac:dyDescent="0.25">
      <c r="A118" s="54"/>
      <c r="B118" s="55"/>
      <c r="C118" s="30" t="s">
        <v>197</v>
      </c>
      <c r="D118" s="29" t="str">
        <f>IF(OR(NOT(ConfigureAS2=FALSE),ISBLANK(ConfigureAS2)),UPPER(CONCATENATE(PartnerDesignation,IF(NOT(ISBLANK(AS2VANSPartner)),CONCATENATE("_",AS2VANSPartner),""),IF(NOT(ISBLANK(AS2MessageType2)),CONCATENATE("_",AS2MessageType2),""),"_AS2")),"")</f>
        <v/>
      </c>
    </row>
    <row r="119" spans="1:4" x14ac:dyDescent="0.25">
      <c r="A119" s="54">
        <v>2</v>
      </c>
      <c r="B119" s="55" t="s">
        <v>252</v>
      </c>
      <c r="C119" s="30" t="s">
        <v>253</v>
      </c>
      <c r="D119" s="29" t="str">
        <f>IF(OR(NOT(ConfigureAS2=FALSE),ISBLANK(ConfigureAS2)),"300","")</f>
        <v/>
      </c>
    </row>
    <row r="120" spans="1:4" x14ac:dyDescent="0.25">
      <c r="A120" s="54"/>
      <c r="B120" s="55"/>
      <c r="C120" s="56" t="s">
        <v>254</v>
      </c>
      <c r="D120" s="29" t="str">
        <f>IF(OR(NOT(ConfigureAS2=FALSE),ISBLANK(ConfigureAS2)),"5","")</f>
        <v/>
      </c>
    </row>
    <row r="121" spans="1:4" x14ac:dyDescent="0.25">
      <c r="A121" s="54"/>
      <c r="B121" s="55"/>
      <c r="C121" s="30" t="s">
        <v>255</v>
      </c>
      <c r="D121" s="44" t="str">
        <f>IF(OR(NOT(ConfigureAS2=FALSE),ISBLANK(ConfigureAS2)),"&lt;Checked&gt;","")</f>
        <v/>
      </c>
    </row>
    <row r="122" spans="1:4" x14ac:dyDescent="0.25">
      <c r="A122" s="54"/>
      <c r="B122" s="55"/>
      <c r="C122" s="30" t="s">
        <v>256</v>
      </c>
      <c r="D122" s="44" t="str">
        <f>IF(OR(NOT(ConfigureAS2=FALSE),ISBLANK(ConfigureAS2)),"&lt;Checked&gt;","")</f>
        <v/>
      </c>
    </row>
    <row r="123" spans="1:4" ht="30" x14ac:dyDescent="0.25">
      <c r="A123" s="54"/>
      <c r="B123" s="55"/>
      <c r="C123" s="30" t="s">
        <v>257</v>
      </c>
      <c r="D123" s="44" t="str">
        <f>IF(OR(NOT(ConfigureAS2=FALSE),ISBLANK(ConfigureAS2)),"&lt;Unchecked&gt;","")</f>
        <v/>
      </c>
    </row>
    <row r="124" spans="1:4" x14ac:dyDescent="0.25">
      <c r="A124" s="54"/>
      <c r="B124" s="55"/>
      <c r="C124" s="30" t="s">
        <v>258</v>
      </c>
      <c r="D124" s="29" t="str">
        <f>IF(OR(NOT(ConfigureAS2=FALSE),ISBLANK(ConfigureAS2)),IF(Framework="LW","Invoke Business Process Directly","Store AS2 Messages in Mailbox"),"")</f>
        <v/>
      </c>
    </row>
    <row r="125" spans="1:4" x14ac:dyDescent="0.25">
      <c r="A125" s="54">
        <v>3</v>
      </c>
      <c r="B125" s="55" t="str">
        <f>IF(Framework="LW","Business Process","Mailbox")</f>
        <v>Mailbox</v>
      </c>
      <c r="C125" s="30" t="str">
        <f>IF(Framework="LW","Inbound Success Business Process","Select Existing Parent Mailbox")</f>
        <v>Select Existing Parent Mailbox</v>
      </c>
      <c r="D125" s="29" t="str">
        <f>IF(OR(NOT(ConfigureAS2=FALSE),ISBLANK(ConfigureAS2)),IF(Framework="LW","LW_BP_RECEIVE_AS2","&lt;Select the parent mailbox in /DSV_ACCOUNTS_mb/DSV_AS2_mb/&gt;"),"")</f>
        <v/>
      </c>
    </row>
    <row r="126" spans="1:4" x14ac:dyDescent="0.25">
      <c r="A126" s="54"/>
      <c r="B126" s="55"/>
      <c r="C126" s="30" t="str">
        <f>IF(Framework="LW","Inbound Error Business Process","")</f>
        <v/>
      </c>
      <c r="D126" s="29" t="str">
        <f>IF(OR(NOT(ConfigureAS2=FALSE),ISBLANK(ConfigureAS2)),IF(Framework="LW","[Not Applicable]",""),"")</f>
        <v/>
      </c>
    </row>
    <row r="127" spans="1:4" x14ac:dyDescent="0.25">
      <c r="A127" s="54"/>
      <c r="B127" s="55"/>
      <c r="C127" s="30" t="str">
        <f>IF(Framework="LW","Set Message File Name in Process Data","")</f>
        <v/>
      </c>
      <c r="D127" s="44" t="str">
        <f>IF(OR(NOT(ConfigureAS2=FALSE),ISBLANK(ConfigureAS2)),IF(Framework="LW","&lt;Checked&gt;",""),"")</f>
        <v/>
      </c>
    </row>
    <row r="128" spans="1:4" x14ac:dyDescent="0.25">
      <c r="A128" s="54"/>
      <c r="B128" s="55"/>
      <c r="C128" s="30" t="str">
        <f>IF(Framework="LW","Include File Name In Message","")</f>
        <v/>
      </c>
      <c r="D128" s="44" t="str">
        <f>IF(OR(NOT(ConfigureAS2=FALSE),ISBLANK(ConfigureAS2)),IF(Framework="LW","&lt;Checked&gt;",""),"")</f>
        <v/>
      </c>
    </row>
    <row r="129" spans="1:6" x14ac:dyDescent="0.25">
      <c r="A129"/>
      <c r="B129"/>
      <c r="C129"/>
      <c r="D129"/>
      <c r="F129" s="8"/>
    </row>
    <row r="130" spans="1:6" ht="15.75" thickBot="1" x14ac:dyDescent="0.3">
      <c r="A130"/>
      <c r="B130"/>
      <c r="C130"/>
      <c r="D130"/>
      <c r="F130" s="8"/>
    </row>
    <row r="131" spans="1:6" s="66" customFormat="1" ht="16.5" thickTop="1" thickBot="1" x14ac:dyDescent="0.3">
      <c r="F131" s="65"/>
    </row>
    <row r="132" spans="1:6" ht="15.75" thickTop="1" x14ac:dyDescent="0.25">
      <c r="A132"/>
      <c r="B132"/>
      <c r="C132"/>
      <c r="D132"/>
      <c r="F132" s="8"/>
    </row>
    <row r="133" spans="1:6" x14ac:dyDescent="0.25">
      <c r="A133" s="23" t="s">
        <v>311</v>
      </c>
      <c r="B133"/>
      <c r="C133" s="25"/>
      <c r="D133"/>
    </row>
    <row r="134" spans="1:6" x14ac:dyDescent="0.25">
      <c r="A134" s="16"/>
      <c r="B134"/>
      <c r="C134" s="25"/>
      <c r="D134"/>
    </row>
    <row r="135" spans="1:6" ht="30" x14ac:dyDescent="0.25">
      <c r="A135" s="16"/>
      <c r="B135"/>
      <c r="C135" s="35" t="s">
        <v>305</v>
      </c>
      <c r="D135" s="59"/>
    </row>
    <row r="136" spans="1:6" x14ac:dyDescent="0.25">
      <c r="A136" s="16"/>
      <c r="B136"/>
      <c r="C136" s="69"/>
      <c r="D136" s="69"/>
    </row>
    <row r="137" spans="1:6" x14ac:dyDescent="0.25">
      <c r="A137" s="16"/>
      <c r="B137"/>
      <c r="C137" s="69"/>
      <c r="D137" s="69"/>
    </row>
    <row r="138" spans="1:6" x14ac:dyDescent="0.25">
      <c r="A138"/>
      <c r="B138"/>
      <c r="C138" s="25"/>
      <c r="D138"/>
    </row>
    <row r="139" spans="1:6" x14ac:dyDescent="0.25">
      <c r="A139" s="47" t="s">
        <v>67</v>
      </c>
      <c r="B139" s="23" t="s">
        <v>68</v>
      </c>
      <c r="C139" s="35" t="s">
        <v>59</v>
      </c>
      <c r="D139" s="23" t="s">
        <v>60</v>
      </c>
      <c r="E139" s="23" t="s">
        <v>299</v>
      </c>
      <c r="F139" s="33" t="s">
        <v>300</v>
      </c>
    </row>
    <row r="140" spans="1:6" x14ac:dyDescent="0.25">
      <c r="A140" s="182">
        <v>1</v>
      </c>
      <c r="B140" s="182" t="s">
        <v>195</v>
      </c>
      <c r="C140" s="30" t="s">
        <v>196</v>
      </c>
      <c r="D140" s="29" t="str">
        <f>IF(OR(NOT(ConfigureAS2=FALSE),ISBLANK(ConfigureAS2)),"Partner","")</f>
        <v/>
      </c>
    </row>
    <row r="141" spans="1:6" x14ac:dyDescent="0.25">
      <c r="A141" s="184"/>
      <c r="B141" s="184"/>
      <c r="C141" s="30" t="s">
        <v>198</v>
      </c>
      <c r="D141" s="29" t="str">
        <f>IF(OR(NOT(ConfigureAS2=FALSE),ISBLANK(ConfigureAS2)),"Create New Identity","")</f>
        <v/>
      </c>
    </row>
    <row r="142" spans="1:6" x14ac:dyDescent="0.25">
      <c r="A142" s="182">
        <v>2</v>
      </c>
      <c r="B142" s="182" t="s">
        <v>199</v>
      </c>
      <c r="C142" s="30" t="s">
        <v>246</v>
      </c>
      <c r="D142" s="29" t="str">
        <f>IF(OR(NOT(ConfigureAS2=FALSE),ISBLANK(ConfigureAS2)),UPPER(CONCATENATE(PartnerDesignation,IF(NOT(ISBLANK(AS2VANSPartner)),CONCATENATE("_",AS2VANSPartner),""),IF(NOT(ISBLANK(AS2MessageType3)),CONCATENATE("_",AS2MessageType3),""),"_AS2")),"")</f>
        <v/>
      </c>
    </row>
    <row r="143" spans="1:6" x14ac:dyDescent="0.25">
      <c r="A143" s="184"/>
      <c r="B143" s="184"/>
      <c r="C143" s="30" t="s">
        <v>200</v>
      </c>
      <c r="D143" s="59"/>
      <c r="E143" s="57"/>
      <c r="F143" s="34" t="s">
        <v>201</v>
      </c>
    </row>
    <row r="144" spans="1:6" x14ac:dyDescent="0.25">
      <c r="A144" s="182">
        <v>3</v>
      </c>
      <c r="B144" s="182" t="s">
        <v>202</v>
      </c>
      <c r="C144" s="30" t="s">
        <v>203</v>
      </c>
      <c r="D144" s="29" t="str">
        <f>IF(OR(NOT(ConfigureAS2=FALSE),ISBLANK(ConfigureAS2)),UPPER(CONCATENATE(PartnerDesignation,IF(NOT(ISBLANK(AS2VANSPartner)),CONCATENATE("_",AS2VANSPartner),""),IF(NOT(ISBLANK(AS2MessageType3)),CONCATENATE("_",AS2MessageType3),""),"_AS2")),"")</f>
        <v/>
      </c>
    </row>
    <row r="145" spans="1:6" x14ac:dyDescent="0.25">
      <c r="A145" s="183"/>
      <c r="B145" s="183"/>
      <c r="C145" s="30" t="s">
        <v>204</v>
      </c>
      <c r="D145" s="29" t="str">
        <f>IF(OR(NOT(ConfigureAS2=FALSE),ISBLANK(ConfigureAS2)),"DSV_SA_HTTP_CNXPX_GROUP_cf","")</f>
        <v/>
      </c>
      <c r="F145" s="70"/>
    </row>
    <row r="146" spans="1:6" x14ac:dyDescent="0.25">
      <c r="A146" s="183"/>
      <c r="B146" s="183"/>
      <c r="C146" s="30" t="s">
        <v>2</v>
      </c>
      <c r="D146" s="59"/>
      <c r="E146" s="57"/>
      <c r="F146" s="34" t="s">
        <v>205</v>
      </c>
    </row>
    <row r="147" spans="1:6" ht="30" x14ac:dyDescent="0.25">
      <c r="A147" s="183"/>
      <c r="B147" s="183"/>
      <c r="C147" s="30" t="s">
        <v>3</v>
      </c>
      <c r="D147" s="44" t="str">
        <f>IF(OR(NOT(ConfigureAS2=FALSE),ISBLANK(ConfigureAS2)),"&lt;Leave Empty&gt;","")</f>
        <v/>
      </c>
      <c r="F147" s="34" t="s">
        <v>206</v>
      </c>
    </row>
    <row r="148" spans="1:6" ht="30" x14ac:dyDescent="0.25">
      <c r="A148" s="183"/>
      <c r="B148" s="183"/>
      <c r="C148" s="30" t="s">
        <v>1</v>
      </c>
      <c r="D148" s="44" t="str">
        <f>IF(OR(NOT(ConfigureAS2=FALSE),ISBLANK(ConfigureAS2)),"&lt;Leave Empty&gt;","")</f>
        <v/>
      </c>
      <c r="F148" s="34" t="s">
        <v>206</v>
      </c>
    </row>
    <row r="149" spans="1:6" x14ac:dyDescent="0.25">
      <c r="A149" s="183"/>
      <c r="B149" s="183"/>
      <c r="C149" s="30" t="s">
        <v>207</v>
      </c>
      <c r="D149" s="29" t="str">
        <f>IF(OR(NOT(ConfigureAS2=FALSE),ISBLANK(ConfigureAS2)),"300","")</f>
        <v/>
      </c>
    </row>
    <row r="150" spans="1:6" x14ac:dyDescent="0.25">
      <c r="A150" s="183"/>
      <c r="B150" s="183"/>
      <c r="C150" s="30" t="s">
        <v>208</v>
      </c>
      <c r="D150" s="44" t="str">
        <f>IF(OR(NOT(ConfigureAS2=FALSE),ISBLANK(ConfigureAS2)),"&lt;Null&gt;","")</f>
        <v/>
      </c>
    </row>
    <row r="151" spans="1:6" x14ac:dyDescent="0.25">
      <c r="A151" s="183"/>
      <c r="B151" s="183"/>
      <c r="C151" s="30" t="s">
        <v>209</v>
      </c>
      <c r="D151" s="44" t="str">
        <f>IF(OR(NOT(ConfigureAS2=FALSE),ISBLANK(ConfigureAS2)),"&lt;Null&gt;","")</f>
        <v/>
      </c>
    </row>
    <row r="152" spans="1:6" x14ac:dyDescent="0.25">
      <c r="A152" s="183"/>
      <c r="B152" s="183"/>
      <c r="C152" s="30" t="s">
        <v>210</v>
      </c>
      <c r="D152" s="29" t="str">
        <f>IF(OR(NOT(ConfigureAS2=FALSE),ISBLANK(ConfigureAS2)),"300","")</f>
        <v/>
      </c>
    </row>
    <row r="153" spans="1:6" ht="45" x14ac:dyDescent="0.25">
      <c r="A153" s="183"/>
      <c r="B153" s="183"/>
      <c r="C153" s="30" t="s">
        <v>211</v>
      </c>
      <c r="D153" s="44" t="str">
        <f>IF(OR(NOT(ConfigureAS2=FALSE),ISBLANK(ConfigureAS2)),"&lt;Leave Empty&gt;","")</f>
        <v/>
      </c>
      <c r="F153" s="34" t="s">
        <v>212</v>
      </c>
    </row>
    <row r="154" spans="1:6" x14ac:dyDescent="0.25">
      <c r="A154" s="183"/>
      <c r="B154" s="183"/>
      <c r="C154" s="30" t="s">
        <v>213</v>
      </c>
      <c r="D154" s="44" t="str">
        <f>IF(OR(NOT(ConfigureAS2=FALSE),ISBLANK(ConfigureAS2)),"&lt;Null&gt;","")</f>
        <v/>
      </c>
    </row>
    <row r="155" spans="1:6" x14ac:dyDescent="0.25">
      <c r="A155" s="183"/>
      <c r="B155" s="183"/>
      <c r="C155" s="30" t="s">
        <v>214</v>
      </c>
      <c r="D155" s="44" t="str">
        <f>IF(OR(NOT(ConfigureAS2=FALSE),ISBLANK(ConfigureAS2)),"&lt;Null&gt;","")</f>
        <v/>
      </c>
    </row>
    <row r="156" spans="1:6" x14ac:dyDescent="0.25">
      <c r="A156" s="183"/>
      <c r="B156" s="183"/>
      <c r="C156" s="30" t="s">
        <v>215</v>
      </c>
      <c r="D156" s="44" t="str">
        <f>IF(OR(NOT(ConfigureAS2=FALSE),ISBLANK(ConfigureAS2)),"&lt;Null&gt;","")</f>
        <v/>
      </c>
    </row>
    <row r="157" spans="1:6" x14ac:dyDescent="0.25">
      <c r="A157" s="184"/>
      <c r="B157" s="184"/>
      <c r="C157" s="30" t="s">
        <v>216</v>
      </c>
      <c r="D157" s="44" t="str">
        <f>IF(OR(NOT(ConfigureAS2=FALSE),ISBLANK(ConfigureAS2)),"&lt;Null&gt;","")</f>
        <v/>
      </c>
    </row>
    <row r="158" spans="1:6" x14ac:dyDescent="0.25">
      <c r="A158" s="182">
        <v>4</v>
      </c>
      <c r="B158" s="182" t="s">
        <v>217</v>
      </c>
      <c r="C158" s="30" t="s">
        <v>218</v>
      </c>
      <c r="D158" s="29" t="str">
        <f>IF(OR(NOT(ConfigureAS2=FALSE),ISBLANK(ConfigureAS2)),"Signed Detached Encrypted","")</f>
        <v/>
      </c>
    </row>
    <row r="159" spans="1:6" ht="30" x14ac:dyDescent="0.25">
      <c r="A159" s="183"/>
      <c r="B159" s="183"/>
      <c r="C159" s="30" t="s">
        <v>219</v>
      </c>
      <c r="D159" s="29" t="str">
        <f>IF(OR(NOT(ConfigureAS2=FALSE),ISBLANK(ConfigureAS2)),"Application","")</f>
        <v/>
      </c>
      <c r="F159" s="34" t="s">
        <v>566</v>
      </c>
    </row>
    <row r="160" spans="1:6" ht="30" x14ac:dyDescent="0.25">
      <c r="A160" s="183"/>
      <c r="B160" s="183"/>
      <c r="C160" s="30" t="s">
        <v>220</v>
      </c>
      <c r="D160" s="58"/>
      <c r="E160" s="57"/>
      <c r="F160" s="34" t="s">
        <v>566</v>
      </c>
    </row>
    <row r="161" spans="1:6" x14ac:dyDescent="0.25">
      <c r="A161" s="183"/>
      <c r="B161" s="183"/>
      <c r="C161" s="30" t="s">
        <v>222</v>
      </c>
      <c r="D161" s="29" t="str">
        <f>IF(OR(NOT(ConfigureAS2=FALSE),ISBLANK(ConfigureAS2)),"Use default","")</f>
        <v/>
      </c>
    </row>
    <row r="162" spans="1:6" x14ac:dyDescent="0.25">
      <c r="A162" s="183"/>
      <c r="B162" s="183"/>
      <c r="C162" s="30" t="s">
        <v>223</v>
      </c>
      <c r="D162" s="44" t="str">
        <f>IF(OR(NOT(ConfigureAS2=FALSE),ISBLANK(ConfigureAS2)),IF(ISBLANK(TrustedDigitalCertificate),"&lt;Enter the Trusted Certificate in the correct worksheet&gt;",TrustedDigitalCertificate),"")</f>
        <v/>
      </c>
    </row>
    <row r="163" spans="1:6" x14ac:dyDescent="0.25">
      <c r="A163" s="183"/>
      <c r="B163" s="183"/>
      <c r="C163" s="30" t="s">
        <v>224</v>
      </c>
      <c r="D163" s="44" t="str">
        <f>IF(OR(NOT(ConfigureAS2=FALSE),ISBLANK(ConfigureAS2)),IF(ISBLANK(TrustedDigitalCertificate),"&lt;Enter the Trusted Certificate in the correct worksheet&gt;",TrustedDigitalCertificate),"")</f>
        <v/>
      </c>
    </row>
    <row r="164" spans="1:6" x14ac:dyDescent="0.25">
      <c r="A164" s="183"/>
      <c r="B164" s="183"/>
      <c r="C164" s="30" t="s">
        <v>225</v>
      </c>
      <c r="D164" s="29" t="str">
        <f>IF(OR(NOT(ConfigureAS2=FALSE),ISBLANK(ConfigureAS2)),"Triple DES 168 CBC with PKCS5 padding","")</f>
        <v/>
      </c>
    </row>
    <row r="165" spans="1:6" ht="30" x14ac:dyDescent="0.25">
      <c r="A165" s="183"/>
      <c r="B165" s="183"/>
      <c r="C165" s="30" t="s">
        <v>226</v>
      </c>
      <c r="D165" s="29" t="str">
        <f>IF(OR(NOT(ConfigureAS2=FALSE),ISBLANK(ConfigureAS2)),"SHA256","")</f>
        <v/>
      </c>
      <c r="F165" s="34" t="s">
        <v>566</v>
      </c>
    </row>
    <row r="166" spans="1:6" x14ac:dyDescent="0.25">
      <c r="A166" s="184"/>
      <c r="B166" s="184"/>
      <c r="C166" s="30" t="s">
        <v>227</v>
      </c>
      <c r="D166" s="44" t="str">
        <f>IF(OR(NOT(ConfigureAS2=FALSE),ISBLANK(ConfigureAS2)),"&lt;Checked&gt;","")</f>
        <v/>
      </c>
    </row>
    <row r="167" spans="1:6" x14ac:dyDescent="0.25">
      <c r="A167" s="182">
        <v>5</v>
      </c>
      <c r="B167" s="182" t="s">
        <v>228</v>
      </c>
      <c r="C167" s="30" t="s">
        <v>229</v>
      </c>
      <c r="D167" s="29" t="str">
        <f>IF(OR(NOT(ConfigureAS2=FALSE),ISBLANK(ConfigureAS2)),"NONE","")</f>
        <v/>
      </c>
    </row>
    <row r="168" spans="1:6" x14ac:dyDescent="0.25">
      <c r="A168" s="183"/>
      <c r="B168" s="183"/>
      <c r="C168" s="30" t="s">
        <v>230</v>
      </c>
      <c r="D168" s="29" t="str">
        <f>IF(OR(NOT(ConfigureAS2=FALSE),ISBLANK(ConfigureAS2)),"300","")</f>
        <v/>
      </c>
    </row>
    <row r="169" spans="1:6" ht="30" x14ac:dyDescent="0.25">
      <c r="A169" s="183"/>
      <c r="B169" s="183"/>
      <c r="C169" s="30" t="s">
        <v>231</v>
      </c>
      <c r="D169" s="29" t="str">
        <f>IF(OR(NOT(ConfigureAS2=FALSE),ISBLANK(ConfigureAS2)),"Synchronous","")</f>
        <v/>
      </c>
      <c r="F169" s="34" t="s">
        <v>566</v>
      </c>
    </row>
    <row r="170" spans="1:6" ht="30" x14ac:dyDescent="0.25">
      <c r="A170" s="183"/>
      <c r="B170" s="183"/>
      <c r="C170" s="30" t="s">
        <v>232</v>
      </c>
      <c r="D170" s="30" t="str">
        <f>IF(OR(NOT(ConfigureAS2=FALSE),ISBLANK(ConfigureAS2)),"&lt;Leave Empty&gt; (For Delivery Mode Synchronous)"&amp;CHAR(10)&amp;"http://b2b.dsv.net/b2bhttp/inbound/as2 (For Delivery Mode Asynchronous)","")</f>
        <v/>
      </c>
      <c r="F170" s="34" t="s">
        <v>566</v>
      </c>
    </row>
    <row r="171" spans="1:6" x14ac:dyDescent="0.25">
      <c r="A171" s="184"/>
      <c r="B171" s="184"/>
      <c r="C171" s="30" t="s">
        <v>233</v>
      </c>
      <c r="D171" s="44" t="str">
        <f>IF(OR(NOT(ConfigureAS2=FALSE),ISBLANK(ConfigureAS2)),"&lt;Unchecked&gt;","")</f>
        <v/>
      </c>
    </row>
    <row r="175" spans="1:6" x14ac:dyDescent="0.25">
      <c r="A175" s="61" t="s">
        <v>312</v>
      </c>
    </row>
    <row r="177" spans="1:6" x14ac:dyDescent="0.25">
      <c r="A177" s="47" t="s">
        <v>67</v>
      </c>
      <c r="B177" s="23" t="s">
        <v>68</v>
      </c>
      <c r="C177" s="35" t="s">
        <v>59</v>
      </c>
      <c r="D177" s="23" t="s">
        <v>60</v>
      </c>
    </row>
    <row r="178" spans="1:6" x14ac:dyDescent="0.25">
      <c r="A178" s="54">
        <v>1</v>
      </c>
      <c r="B178" s="55" t="s">
        <v>250</v>
      </c>
      <c r="C178" s="30" t="s">
        <v>251</v>
      </c>
      <c r="D178" s="29" t="str">
        <f>IF(OR(NOT(ConfigureAS2=FALSE),ISBLANK(ConfigureAS2)),"DSVAS2_&lt;DEV|TEST|QA|PROD&gt;","")</f>
        <v/>
      </c>
    </row>
    <row r="179" spans="1:6" x14ac:dyDescent="0.25">
      <c r="A179" s="54"/>
      <c r="B179" s="55"/>
      <c r="C179" s="30" t="s">
        <v>197</v>
      </c>
      <c r="D179" s="29" t="str">
        <f>IF(OR(NOT(ConfigureAS2=FALSE),ISBLANK(ConfigureAS2)),UPPER(CONCATENATE(PartnerDesignation,IF(NOT(ISBLANK(AS2VANSPartner)),CONCATENATE("_",AS2VANSPartner),""),IF(NOT(ISBLANK(AS2MessageType3)),CONCATENATE("_",AS2MessageType3),""),"_AS2")),"")</f>
        <v/>
      </c>
    </row>
    <row r="180" spans="1:6" x14ac:dyDescent="0.25">
      <c r="A180" s="54">
        <v>2</v>
      </c>
      <c r="B180" s="55" t="s">
        <v>252</v>
      </c>
      <c r="C180" s="30" t="s">
        <v>253</v>
      </c>
      <c r="D180" s="29" t="str">
        <f>IF(OR(NOT(ConfigureAS2=FALSE),ISBLANK(ConfigureAS2)),"300","")</f>
        <v/>
      </c>
    </row>
    <row r="181" spans="1:6" x14ac:dyDescent="0.25">
      <c r="A181" s="54"/>
      <c r="B181" s="55"/>
      <c r="C181" s="56" t="s">
        <v>254</v>
      </c>
      <c r="D181" s="29" t="str">
        <f>IF(OR(NOT(ConfigureAS2=FALSE),ISBLANK(ConfigureAS2)),"5","")</f>
        <v/>
      </c>
    </row>
    <row r="182" spans="1:6" x14ac:dyDescent="0.25">
      <c r="A182" s="54"/>
      <c r="B182" s="55"/>
      <c r="C182" s="30" t="s">
        <v>255</v>
      </c>
      <c r="D182" s="44" t="str">
        <f>IF(OR(NOT(ConfigureAS2=FALSE),ISBLANK(ConfigureAS2)),"&lt;Checked&gt;","")</f>
        <v/>
      </c>
    </row>
    <row r="183" spans="1:6" x14ac:dyDescent="0.25">
      <c r="A183" s="54"/>
      <c r="B183" s="55"/>
      <c r="C183" s="30" t="s">
        <v>256</v>
      </c>
      <c r="D183" s="44" t="str">
        <f>IF(OR(NOT(ConfigureAS2=FALSE),ISBLANK(ConfigureAS2)),"&lt;Checked&gt;","")</f>
        <v/>
      </c>
    </row>
    <row r="184" spans="1:6" ht="30" x14ac:dyDescent="0.25">
      <c r="A184" s="54"/>
      <c r="B184" s="55"/>
      <c r="C184" s="30" t="s">
        <v>257</v>
      </c>
      <c r="D184" s="44" t="str">
        <f>IF(OR(NOT(ConfigureAS2=FALSE),ISBLANK(ConfigureAS2)),"&lt;Unchecked&gt;","")</f>
        <v/>
      </c>
    </row>
    <row r="185" spans="1:6" x14ac:dyDescent="0.25">
      <c r="A185" s="54"/>
      <c r="B185" s="55"/>
      <c r="C185" s="30" t="s">
        <v>258</v>
      </c>
      <c r="D185" s="29" t="str">
        <f>IF(OR(NOT(ConfigureAS2=FALSE),ISBLANK(ConfigureAS2)),IF(Framework="LW","Invoke Business Process Directly","Store AS2 Messages in Mailbox"),"")</f>
        <v/>
      </c>
    </row>
    <row r="186" spans="1:6" x14ac:dyDescent="0.25">
      <c r="A186" s="54">
        <v>3</v>
      </c>
      <c r="B186" s="55" t="str">
        <f>IF(Framework="LW","Business Process","Mailbox")</f>
        <v>Mailbox</v>
      </c>
      <c r="C186" s="30" t="str">
        <f>IF(Framework="LW","Inbound Success Business Process","Select Existing Parent Mailbox")</f>
        <v>Select Existing Parent Mailbox</v>
      </c>
      <c r="D186" s="29" t="str">
        <f>IF(OR(NOT(ConfigureAS2=FALSE),ISBLANK(ConfigureAS2)),IF(Framework="LW","LW_BP_RECEIVE_AS2","&lt;Select the parent mailbox in /DSV_ACCOUNTS_mb/DSV_AS2_mb/&gt;"),"")</f>
        <v/>
      </c>
    </row>
    <row r="187" spans="1:6" x14ac:dyDescent="0.25">
      <c r="A187" s="54"/>
      <c r="B187" s="55"/>
      <c r="C187" s="30" t="str">
        <f>IF(Framework="LW","Inbound Error Business Process","")</f>
        <v/>
      </c>
      <c r="D187" s="29" t="str">
        <f>IF(OR(NOT(ConfigureAS2=FALSE),ISBLANK(ConfigureAS2)),IF(Framework="LW","[Not Applicable]",""),"")</f>
        <v/>
      </c>
    </row>
    <row r="188" spans="1:6" x14ac:dyDescent="0.25">
      <c r="A188" s="54"/>
      <c r="B188" s="55"/>
      <c r="C188" s="30" t="str">
        <f>IF(Framework="LW","Set Message File Name in Process Data","")</f>
        <v/>
      </c>
      <c r="D188" s="44" t="str">
        <f>IF(OR(NOT(ConfigureAS2=FALSE),ISBLANK(ConfigureAS2)),IF(Framework="LW","&lt;Checked&gt;",""),"")</f>
        <v/>
      </c>
    </row>
    <row r="189" spans="1:6" x14ac:dyDescent="0.25">
      <c r="A189" s="54"/>
      <c r="B189" s="55"/>
      <c r="C189" s="30" t="str">
        <f>IF(Framework="LW","Include File Name In Message","")</f>
        <v/>
      </c>
      <c r="D189" s="44" t="str">
        <f>IF(OR(NOT(ConfigureAS2=FALSE),ISBLANK(ConfigureAS2)),IF(Framework="LW","&lt;Checked&gt;",""),"")</f>
        <v/>
      </c>
    </row>
    <row r="190" spans="1:6" x14ac:dyDescent="0.25">
      <c r="D190" s="31"/>
      <c r="F190" s="70"/>
    </row>
    <row r="191" spans="1:6" ht="15.75" thickBot="1" x14ac:dyDescent="0.3">
      <c r="A191"/>
      <c r="B191"/>
      <c r="C191"/>
      <c r="D191"/>
      <c r="F191" s="8"/>
    </row>
    <row r="192" spans="1:6" s="66" customFormat="1" ht="16.5" thickTop="1" thickBot="1" x14ac:dyDescent="0.3">
      <c r="F192" s="65"/>
    </row>
    <row r="193" spans="1:6" ht="15.75" thickTop="1" x14ac:dyDescent="0.25">
      <c r="A193"/>
      <c r="B193"/>
      <c r="C193"/>
      <c r="D193"/>
      <c r="F193" s="8"/>
    </row>
    <row r="194" spans="1:6" x14ac:dyDescent="0.25">
      <c r="A194" s="23" t="s">
        <v>313</v>
      </c>
      <c r="B194"/>
      <c r="C194" s="25"/>
      <c r="D194"/>
    </row>
    <row r="195" spans="1:6" x14ac:dyDescent="0.25">
      <c r="A195" s="16"/>
      <c r="B195"/>
      <c r="C195" s="25"/>
      <c r="D195"/>
    </row>
    <row r="196" spans="1:6" ht="30" x14ac:dyDescent="0.25">
      <c r="A196" s="16"/>
      <c r="B196"/>
      <c r="C196" s="35" t="s">
        <v>305</v>
      </c>
      <c r="D196" s="59"/>
    </row>
    <row r="197" spans="1:6" x14ac:dyDescent="0.25">
      <c r="A197" s="16"/>
      <c r="B197"/>
      <c r="C197" s="69"/>
      <c r="D197" s="69"/>
    </row>
    <row r="198" spans="1:6" x14ac:dyDescent="0.25">
      <c r="A198" s="16"/>
      <c r="B198"/>
      <c r="C198" s="69"/>
      <c r="D198" s="69"/>
    </row>
    <row r="199" spans="1:6" x14ac:dyDescent="0.25">
      <c r="A199"/>
      <c r="B199"/>
      <c r="C199" s="25"/>
      <c r="D199"/>
    </row>
    <row r="200" spans="1:6" x14ac:dyDescent="0.25">
      <c r="A200" s="47" t="s">
        <v>67</v>
      </c>
      <c r="B200" s="23" t="s">
        <v>68</v>
      </c>
      <c r="C200" s="35" t="s">
        <v>59</v>
      </c>
      <c r="D200" s="23" t="s">
        <v>60</v>
      </c>
      <c r="E200" s="23" t="s">
        <v>299</v>
      </c>
      <c r="F200" s="33" t="s">
        <v>300</v>
      </c>
    </row>
    <row r="201" spans="1:6" x14ac:dyDescent="0.25">
      <c r="A201" s="182">
        <v>1</v>
      </c>
      <c r="B201" s="182" t="s">
        <v>195</v>
      </c>
      <c r="C201" s="30" t="s">
        <v>196</v>
      </c>
      <c r="D201" s="29" t="str">
        <f>IF(OR(NOT(ConfigureAS2=FALSE),ISBLANK(ConfigureAS2)),"Partner","")</f>
        <v/>
      </c>
    </row>
    <row r="202" spans="1:6" x14ac:dyDescent="0.25">
      <c r="A202" s="184"/>
      <c r="B202" s="184"/>
      <c r="C202" s="30" t="s">
        <v>198</v>
      </c>
      <c r="D202" s="29" t="str">
        <f>IF(OR(NOT(ConfigureAS2=FALSE),ISBLANK(ConfigureAS2)),"Create New Identity","")</f>
        <v/>
      </c>
    </row>
    <row r="203" spans="1:6" x14ac:dyDescent="0.25">
      <c r="A203" s="182">
        <v>2</v>
      </c>
      <c r="B203" s="182" t="s">
        <v>199</v>
      </c>
      <c r="C203" s="30" t="s">
        <v>246</v>
      </c>
      <c r="D203" s="29" t="str">
        <f>IF(OR(NOT(ConfigureAS2=FALSE),ISBLANK(ConfigureAS2)),UPPER(CONCATENATE(PartnerDesignation,IF(NOT(ISBLANK(AS2VANSPartner)),CONCATENATE("_",AS2VANSPartner),""),IF(NOT(ISBLANK(AS2MessageType4)),CONCATENATE("_",AS2MessageType4),""),"_AS2")),"")</f>
        <v/>
      </c>
    </row>
    <row r="204" spans="1:6" x14ac:dyDescent="0.25">
      <c r="A204" s="184"/>
      <c r="B204" s="184"/>
      <c r="C204" s="30" t="s">
        <v>200</v>
      </c>
      <c r="D204" s="59"/>
      <c r="E204" s="57"/>
      <c r="F204" s="34" t="s">
        <v>201</v>
      </c>
    </row>
    <row r="205" spans="1:6" x14ac:dyDescent="0.25">
      <c r="A205" s="182">
        <v>3</v>
      </c>
      <c r="B205" s="182" t="s">
        <v>202</v>
      </c>
      <c r="C205" s="30" t="s">
        <v>203</v>
      </c>
      <c r="D205" s="29" t="str">
        <f>IF(OR(NOT(ConfigureAS2=FALSE),ISBLANK(ConfigureAS2)),UPPER(CONCATENATE(PartnerDesignation,IF(NOT(ISBLANK(AS2VANSPartner)),CONCATENATE("_",AS2VANSPartner),""),IF(NOT(ISBLANK(AS2MessageType4)),CONCATENATE("_",AS2MessageType4),""),"_AS2")),"")</f>
        <v/>
      </c>
    </row>
    <row r="206" spans="1:6" x14ac:dyDescent="0.25">
      <c r="A206" s="183"/>
      <c r="B206" s="183"/>
      <c r="C206" s="30" t="s">
        <v>204</v>
      </c>
      <c r="D206" s="29" t="str">
        <f>IF(OR(NOT(ConfigureAS2=FALSE),ISBLANK(ConfigureAS2)),"DSV_SA_HTTP_CNXPX_GROUP_cf","")</f>
        <v/>
      </c>
      <c r="F206" s="70"/>
    </row>
    <row r="207" spans="1:6" x14ac:dyDescent="0.25">
      <c r="A207" s="183"/>
      <c r="B207" s="183"/>
      <c r="C207" s="30" t="s">
        <v>2</v>
      </c>
      <c r="D207" s="59"/>
      <c r="E207" s="57"/>
      <c r="F207" s="34" t="s">
        <v>205</v>
      </c>
    </row>
    <row r="208" spans="1:6" ht="30" x14ac:dyDescent="0.25">
      <c r="A208" s="183"/>
      <c r="B208" s="183"/>
      <c r="C208" s="30" t="s">
        <v>3</v>
      </c>
      <c r="D208" s="44" t="str">
        <f>IF(OR(NOT(ConfigureAS2=FALSE),ISBLANK(ConfigureAS2)),"&lt;Leave Empty&gt;","")</f>
        <v/>
      </c>
      <c r="F208" s="34" t="s">
        <v>206</v>
      </c>
    </row>
    <row r="209" spans="1:6" ht="30" x14ac:dyDescent="0.25">
      <c r="A209" s="183"/>
      <c r="B209" s="183"/>
      <c r="C209" s="30" t="s">
        <v>1</v>
      </c>
      <c r="D209" s="44" t="str">
        <f>IF(OR(NOT(ConfigureAS2=FALSE),ISBLANK(ConfigureAS2)),"&lt;Leave Empty&gt;","")</f>
        <v/>
      </c>
      <c r="F209" s="34" t="s">
        <v>206</v>
      </c>
    </row>
    <row r="210" spans="1:6" x14ac:dyDescent="0.25">
      <c r="A210" s="183"/>
      <c r="B210" s="183"/>
      <c r="C210" s="30" t="s">
        <v>207</v>
      </c>
      <c r="D210" s="29" t="str">
        <f>IF(OR(NOT(ConfigureAS2=FALSE),ISBLANK(ConfigureAS2)),"300","")</f>
        <v/>
      </c>
    </row>
    <row r="211" spans="1:6" x14ac:dyDescent="0.25">
      <c r="A211" s="183"/>
      <c r="B211" s="183"/>
      <c r="C211" s="30" t="s">
        <v>208</v>
      </c>
      <c r="D211" s="44" t="str">
        <f>IF(OR(NOT(ConfigureAS2=FALSE),ISBLANK(ConfigureAS2)),"&lt;Null&gt;","")</f>
        <v/>
      </c>
    </row>
    <row r="212" spans="1:6" x14ac:dyDescent="0.25">
      <c r="A212" s="183"/>
      <c r="B212" s="183"/>
      <c r="C212" s="30" t="s">
        <v>209</v>
      </c>
      <c r="D212" s="44" t="str">
        <f>IF(OR(NOT(ConfigureAS2=FALSE),ISBLANK(ConfigureAS2)),"&lt;Null&gt;","")</f>
        <v/>
      </c>
    </row>
    <row r="213" spans="1:6" x14ac:dyDescent="0.25">
      <c r="A213" s="183"/>
      <c r="B213" s="183"/>
      <c r="C213" s="30" t="s">
        <v>210</v>
      </c>
      <c r="D213" s="29" t="str">
        <f>IF(OR(NOT(ConfigureAS2=FALSE),ISBLANK(ConfigureAS2)),"300","")</f>
        <v/>
      </c>
    </row>
    <row r="214" spans="1:6" ht="45" x14ac:dyDescent="0.25">
      <c r="A214" s="183"/>
      <c r="B214" s="183"/>
      <c r="C214" s="30" t="s">
        <v>211</v>
      </c>
      <c r="D214" s="44" t="str">
        <f>IF(OR(NOT(ConfigureAS2=FALSE),ISBLANK(ConfigureAS2)),"&lt;Leave Empty&gt;","")</f>
        <v/>
      </c>
      <c r="F214" s="34" t="s">
        <v>212</v>
      </c>
    </row>
    <row r="215" spans="1:6" x14ac:dyDescent="0.25">
      <c r="A215" s="183"/>
      <c r="B215" s="183"/>
      <c r="C215" s="30" t="s">
        <v>213</v>
      </c>
      <c r="D215" s="44" t="str">
        <f>IF(OR(NOT(ConfigureAS2=FALSE),ISBLANK(ConfigureAS2)),"&lt;Null&gt;","")</f>
        <v/>
      </c>
    </row>
    <row r="216" spans="1:6" x14ac:dyDescent="0.25">
      <c r="A216" s="183"/>
      <c r="B216" s="183"/>
      <c r="C216" s="30" t="s">
        <v>214</v>
      </c>
      <c r="D216" s="44" t="str">
        <f>IF(OR(NOT(ConfigureAS2=FALSE),ISBLANK(ConfigureAS2)),"&lt;Null&gt;","")</f>
        <v/>
      </c>
    </row>
    <row r="217" spans="1:6" x14ac:dyDescent="0.25">
      <c r="A217" s="183"/>
      <c r="B217" s="183"/>
      <c r="C217" s="30" t="s">
        <v>215</v>
      </c>
      <c r="D217" s="44" t="str">
        <f>IF(OR(NOT(ConfigureAS2=FALSE),ISBLANK(ConfigureAS2)),"&lt;Null&gt;","")</f>
        <v/>
      </c>
    </row>
    <row r="218" spans="1:6" x14ac:dyDescent="0.25">
      <c r="A218" s="184"/>
      <c r="B218" s="184"/>
      <c r="C218" s="30" t="s">
        <v>216</v>
      </c>
      <c r="D218" s="44" t="str">
        <f>IF(OR(NOT(ConfigureAS2=FALSE),ISBLANK(ConfigureAS2)),"&lt;Null&gt;","")</f>
        <v/>
      </c>
    </row>
    <row r="219" spans="1:6" x14ac:dyDescent="0.25">
      <c r="A219" s="182">
        <v>4</v>
      </c>
      <c r="B219" s="182" t="s">
        <v>217</v>
      </c>
      <c r="C219" s="30" t="s">
        <v>218</v>
      </c>
      <c r="D219" s="29" t="str">
        <f>IF(OR(NOT(ConfigureAS2=FALSE),ISBLANK(ConfigureAS2)),"Signed Detached Encrypted","")</f>
        <v/>
      </c>
    </row>
    <row r="220" spans="1:6" ht="30" x14ac:dyDescent="0.25">
      <c r="A220" s="183"/>
      <c r="B220" s="183"/>
      <c r="C220" s="30" t="s">
        <v>219</v>
      </c>
      <c r="D220" s="29" t="str">
        <f>IF(OR(NOT(ConfigureAS2=FALSE),ISBLANK(ConfigureAS2)),"Application","")</f>
        <v/>
      </c>
      <c r="F220" s="34" t="s">
        <v>566</v>
      </c>
    </row>
    <row r="221" spans="1:6" ht="30" x14ac:dyDescent="0.25">
      <c r="A221" s="183"/>
      <c r="B221" s="183"/>
      <c r="C221" s="30" t="s">
        <v>220</v>
      </c>
      <c r="D221" s="58"/>
      <c r="E221" s="57"/>
      <c r="F221" s="34" t="s">
        <v>566</v>
      </c>
    </row>
    <row r="222" spans="1:6" x14ac:dyDescent="0.25">
      <c r="A222" s="183"/>
      <c r="B222" s="183"/>
      <c r="C222" s="30" t="s">
        <v>222</v>
      </c>
      <c r="D222" s="29" t="str">
        <f>IF(OR(NOT(ConfigureAS2=FALSE),ISBLANK(ConfigureAS2)),"Use default","")</f>
        <v/>
      </c>
    </row>
    <row r="223" spans="1:6" x14ac:dyDescent="0.25">
      <c r="A223" s="183"/>
      <c r="B223" s="183"/>
      <c r="C223" s="30" t="s">
        <v>223</v>
      </c>
      <c r="D223" s="44" t="str">
        <f>IF(OR(NOT(ConfigureAS2=FALSE),ISBLANK(ConfigureAS2)),IF(ISBLANK(TrustedDigitalCertificate),"&lt;Enter the Trusted Certificate in the correct worksheet&gt;",TrustedDigitalCertificate),"")</f>
        <v/>
      </c>
    </row>
    <row r="224" spans="1:6" x14ac:dyDescent="0.25">
      <c r="A224" s="183"/>
      <c r="B224" s="183"/>
      <c r="C224" s="30" t="s">
        <v>224</v>
      </c>
      <c r="D224" s="44" t="str">
        <f>IF(OR(NOT(ConfigureAS2=FALSE),ISBLANK(ConfigureAS2)),IF(ISBLANK(TrustedDigitalCertificate),"&lt;Enter the Trusted Certificate in the correct worksheet&gt;",TrustedDigitalCertificate),"")</f>
        <v/>
      </c>
    </row>
    <row r="225" spans="1:6" x14ac:dyDescent="0.25">
      <c r="A225" s="183"/>
      <c r="B225" s="183"/>
      <c r="C225" s="30" t="s">
        <v>225</v>
      </c>
      <c r="D225" s="29" t="str">
        <f>IF(OR(NOT(ConfigureAS2=FALSE),ISBLANK(ConfigureAS2)),"Triple DES 168 CBC with PKCS5 padding","")</f>
        <v/>
      </c>
    </row>
    <row r="226" spans="1:6" ht="30" x14ac:dyDescent="0.25">
      <c r="A226" s="183"/>
      <c r="B226" s="183"/>
      <c r="C226" s="30" t="s">
        <v>226</v>
      </c>
      <c r="D226" s="29" t="str">
        <f>IF(OR(NOT(ConfigureAS2=FALSE),ISBLANK(ConfigureAS2)),"SHA256","")</f>
        <v/>
      </c>
      <c r="F226" s="34" t="s">
        <v>566</v>
      </c>
    </row>
    <row r="227" spans="1:6" x14ac:dyDescent="0.25">
      <c r="A227" s="184"/>
      <c r="B227" s="184"/>
      <c r="C227" s="30" t="s">
        <v>227</v>
      </c>
      <c r="D227" s="44" t="str">
        <f>IF(OR(NOT(ConfigureAS2=FALSE),ISBLANK(ConfigureAS2)),"&lt;Checked&gt;","")</f>
        <v/>
      </c>
    </row>
    <row r="228" spans="1:6" x14ac:dyDescent="0.25">
      <c r="A228" s="182">
        <v>5</v>
      </c>
      <c r="B228" s="182" t="s">
        <v>228</v>
      </c>
      <c r="C228" s="30" t="s">
        <v>229</v>
      </c>
      <c r="D228" s="29" t="str">
        <f>IF(OR(NOT(ConfigureAS2=FALSE),ISBLANK(ConfigureAS2)),"NONE","")</f>
        <v/>
      </c>
    </row>
    <row r="229" spans="1:6" x14ac:dyDescent="0.25">
      <c r="A229" s="183"/>
      <c r="B229" s="183"/>
      <c r="C229" s="30" t="s">
        <v>230</v>
      </c>
      <c r="D229" s="29" t="str">
        <f>IF(OR(NOT(ConfigureAS2=FALSE),ISBLANK(ConfigureAS2)),"300","")</f>
        <v/>
      </c>
    </row>
    <row r="230" spans="1:6" ht="30" x14ac:dyDescent="0.25">
      <c r="A230" s="183"/>
      <c r="B230" s="183"/>
      <c r="C230" s="30" t="s">
        <v>231</v>
      </c>
      <c r="D230" s="29" t="str">
        <f>IF(OR(NOT(ConfigureAS2=FALSE),ISBLANK(ConfigureAS2)),"Synchronous","")</f>
        <v/>
      </c>
      <c r="F230" s="34" t="s">
        <v>566</v>
      </c>
    </row>
    <row r="231" spans="1:6" ht="30" x14ac:dyDescent="0.25">
      <c r="A231" s="183"/>
      <c r="B231" s="183"/>
      <c r="C231" s="30" t="s">
        <v>232</v>
      </c>
      <c r="D231" s="30" t="str">
        <f>IF(OR(NOT(ConfigureAS2=FALSE),ISBLANK(ConfigureAS2)),"&lt;Leave Empty&gt; (For Delivery Mode Synchronous)"&amp;CHAR(10)&amp;"http://b2b.dsv.net/b2bhttp/inbound/as2 (For Delivery Mode Asynchronous)","")</f>
        <v/>
      </c>
      <c r="F231" s="34" t="s">
        <v>566</v>
      </c>
    </row>
    <row r="232" spans="1:6" x14ac:dyDescent="0.25">
      <c r="A232" s="184"/>
      <c r="B232" s="184"/>
      <c r="C232" s="30" t="s">
        <v>233</v>
      </c>
      <c r="D232" s="44" t="str">
        <f>IF(OR(NOT(ConfigureAS2=FALSE),ISBLANK(ConfigureAS2)),"&lt;Unchecked&gt;","")</f>
        <v/>
      </c>
    </row>
    <row r="236" spans="1:6" x14ac:dyDescent="0.25">
      <c r="A236" s="61" t="s">
        <v>314</v>
      </c>
    </row>
    <row r="238" spans="1:6" x14ac:dyDescent="0.25">
      <c r="A238" s="47" t="s">
        <v>67</v>
      </c>
      <c r="B238" s="23" t="s">
        <v>68</v>
      </c>
      <c r="C238" s="35" t="s">
        <v>59</v>
      </c>
      <c r="D238" s="23" t="s">
        <v>60</v>
      </c>
    </row>
    <row r="239" spans="1:6" x14ac:dyDescent="0.25">
      <c r="A239" s="54">
        <v>1</v>
      </c>
      <c r="B239" s="55" t="s">
        <v>250</v>
      </c>
      <c r="C239" s="30" t="s">
        <v>251</v>
      </c>
      <c r="D239" s="29" t="str">
        <f>IF(OR(NOT(ConfigureAS2=FALSE),ISBLANK(ConfigureAS2)),"DSVAS2_&lt;DEV|TEST|QA|PROD&gt;","")</f>
        <v/>
      </c>
    </row>
    <row r="240" spans="1:6" x14ac:dyDescent="0.25">
      <c r="A240" s="54"/>
      <c r="B240" s="55"/>
      <c r="C240" s="30" t="s">
        <v>197</v>
      </c>
      <c r="D240" s="29" t="str">
        <f>IF(OR(NOT(ConfigureAS2=FALSE),ISBLANK(ConfigureAS2)),UPPER(CONCATENATE(PartnerDesignation,IF(NOT(ISBLANK(AS2VANSPartner)),CONCATENATE("_",AS2VANSPartner),""),IF(NOT(ISBLANK(AS2MessageType4)),CONCATENATE("_",AS2MessageType4),""),"_AS2")),"")</f>
        <v/>
      </c>
    </row>
    <row r="241" spans="1:6" x14ac:dyDescent="0.25">
      <c r="A241" s="54">
        <v>2</v>
      </c>
      <c r="B241" s="55" t="s">
        <v>252</v>
      </c>
      <c r="C241" s="30" t="s">
        <v>253</v>
      </c>
      <c r="D241" s="29" t="str">
        <f>IF(OR(NOT(ConfigureAS2=FALSE),ISBLANK(ConfigureAS2)),"300","")</f>
        <v/>
      </c>
    </row>
    <row r="242" spans="1:6" x14ac:dyDescent="0.25">
      <c r="A242" s="54"/>
      <c r="B242" s="55"/>
      <c r="C242" s="56" t="s">
        <v>254</v>
      </c>
      <c r="D242" s="29" t="str">
        <f>IF(OR(NOT(ConfigureAS2=FALSE),ISBLANK(ConfigureAS2)),"5","")</f>
        <v/>
      </c>
    </row>
    <row r="243" spans="1:6" x14ac:dyDescent="0.25">
      <c r="A243" s="54"/>
      <c r="B243" s="55"/>
      <c r="C243" s="30" t="s">
        <v>255</v>
      </c>
      <c r="D243" s="44" t="str">
        <f>IF(OR(NOT(ConfigureAS2=FALSE),ISBLANK(ConfigureAS2)),"&lt;Checked&gt;","")</f>
        <v/>
      </c>
    </row>
    <row r="244" spans="1:6" x14ac:dyDescent="0.25">
      <c r="A244" s="54"/>
      <c r="B244" s="55"/>
      <c r="C244" s="30" t="s">
        <v>256</v>
      </c>
      <c r="D244" s="44" t="str">
        <f>IF(OR(NOT(ConfigureAS2=FALSE),ISBLANK(ConfigureAS2)),"&lt;Checked&gt;","")</f>
        <v/>
      </c>
    </row>
    <row r="245" spans="1:6" ht="30" x14ac:dyDescent="0.25">
      <c r="A245" s="54"/>
      <c r="B245" s="55"/>
      <c r="C245" s="30" t="s">
        <v>257</v>
      </c>
      <c r="D245" s="44" t="str">
        <f>IF(OR(NOT(ConfigureAS2=FALSE),ISBLANK(ConfigureAS2)),"&lt;Unchecked&gt;","")</f>
        <v/>
      </c>
    </row>
    <row r="246" spans="1:6" x14ac:dyDescent="0.25">
      <c r="A246" s="54"/>
      <c r="B246" s="55"/>
      <c r="C246" s="30" t="s">
        <v>258</v>
      </c>
      <c r="D246" s="29" t="str">
        <f>IF(OR(NOT(ConfigureAS2=FALSE),ISBLANK(ConfigureAS2)),IF(Framework="LW","Invoke Business Process Directly","Store AS2 Messages in Mailbox"),"")</f>
        <v/>
      </c>
    </row>
    <row r="247" spans="1:6" x14ac:dyDescent="0.25">
      <c r="A247" s="54">
        <v>3</v>
      </c>
      <c r="B247" s="55" t="str">
        <f>IF(Framework="LW","Business Process","Mailbox")</f>
        <v>Mailbox</v>
      </c>
      <c r="C247" s="30" t="str">
        <f>IF(Framework="LW","Inbound Success Business Process","Select Existing Parent Mailbox")</f>
        <v>Select Existing Parent Mailbox</v>
      </c>
      <c r="D247" s="29" t="str">
        <f>IF(OR(NOT(ConfigureAS2=FALSE),ISBLANK(ConfigureAS2)),IF(Framework="LW","LW_BP_RECEIVE_AS2","&lt;Select the parent mailbox in /DSV_ACCOUNTS_mb/DSV_AS2_mb/&gt;"),"")</f>
        <v/>
      </c>
    </row>
    <row r="248" spans="1:6" x14ac:dyDescent="0.25">
      <c r="A248" s="54"/>
      <c r="B248" s="55"/>
      <c r="C248" s="30" t="str">
        <f>IF(Framework="LW","Inbound Error Business Process","")</f>
        <v/>
      </c>
      <c r="D248" s="29" t="str">
        <f>IF(OR(NOT(ConfigureAS2=FALSE),ISBLANK(ConfigureAS2)),IF(Framework="LW","[Not Applicable]",""),"")</f>
        <v/>
      </c>
    </row>
    <row r="249" spans="1:6" x14ac:dyDescent="0.25">
      <c r="A249" s="54"/>
      <c r="B249" s="55"/>
      <c r="C249" s="30" t="str">
        <f>IF(Framework="LW","Set Message File Name in Process Data","")</f>
        <v/>
      </c>
      <c r="D249" s="44" t="str">
        <f>IF(OR(NOT(ConfigureAS2=FALSE),ISBLANK(ConfigureAS2)),IF(Framework="LW","&lt;Checked&gt;",""),"")</f>
        <v/>
      </c>
    </row>
    <row r="250" spans="1:6" x14ac:dyDescent="0.25">
      <c r="A250" s="54"/>
      <c r="B250" s="55"/>
      <c r="C250" s="30" t="str">
        <f>IF(Framework="LW","Include File Name In Message","")</f>
        <v/>
      </c>
      <c r="D250" s="44" t="str">
        <f>IF(OR(NOT(ConfigureAS2=FALSE),ISBLANK(ConfigureAS2)),IF(Framework="LW","&lt;Checked&gt;",""),"")</f>
        <v/>
      </c>
    </row>
    <row r="251" spans="1:6" x14ac:dyDescent="0.25">
      <c r="A251"/>
      <c r="B251"/>
      <c r="C251"/>
      <c r="D251"/>
      <c r="F251" s="8"/>
    </row>
    <row r="252" spans="1:6" ht="15.75" thickBot="1" x14ac:dyDescent="0.3">
      <c r="A252"/>
      <c r="B252"/>
      <c r="C252"/>
      <c r="D252"/>
      <c r="F252" s="8"/>
    </row>
    <row r="253" spans="1:6" s="66" customFormat="1" ht="16.5" thickTop="1" thickBot="1" x14ac:dyDescent="0.3">
      <c r="F253" s="65"/>
    </row>
    <row r="254" spans="1:6" ht="15.75" thickTop="1" x14ac:dyDescent="0.25">
      <c r="A254"/>
      <c r="B254"/>
      <c r="C254"/>
      <c r="D254"/>
      <c r="F254" s="8"/>
    </row>
    <row r="255" spans="1:6" x14ac:dyDescent="0.25">
      <c r="A255"/>
      <c r="B255"/>
      <c r="C255"/>
      <c r="D255"/>
      <c r="F255" s="8"/>
    </row>
    <row r="256" spans="1:6" x14ac:dyDescent="0.25">
      <c r="A256"/>
      <c r="B256"/>
      <c r="C256"/>
      <c r="D256"/>
      <c r="F256" s="8"/>
    </row>
    <row r="257" spans="1:6" x14ac:dyDescent="0.25">
      <c r="A257"/>
      <c r="B257"/>
      <c r="C257"/>
      <c r="D257"/>
      <c r="F257" s="8"/>
    </row>
    <row r="258" spans="1:6" ht="45" x14ac:dyDescent="0.25">
      <c r="A258" s="35" t="s">
        <v>583</v>
      </c>
      <c r="C258" s="50"/>
      <c r="D258" s="25"/>
      <c r="F258" s="8"/>
    </row>
    <row r="259" spans="1:6" x14ac:dyDescent="0.25">
      <c r="A259"/>
      <c r="C259" s="50"/>
      <c r="D259" s="25"/>
      <c r="F259" s="8"/>
    </row>
    <row r="260" spans="1:6" x14ac:dyDescent="0.25">
      <c r="A260" s="16"/>
      <c r="C260" s="50"/>
      <c r="D260" s="25"/>
      <c r="F260" s="8"/>
    </row>
    <row r="261" spans="1:6" x14ac:dyDescent="0.25">
      <c r="A261" s="23" t="s">
        <v>67</v>
      </c>
      <c r="B261" s="72" t="s">
        <v>68</v>
      </c>
      <c r="C261" s="72" t="s">
        <v>59</v>
      </c>
      <c r="D261" s="35" t="s">
        <v>60</v>
      </c>
      <c r="F261" s="8"/>
    </row>
    <row r="262" spans="1:6" x14ac:dyDescent="0.25">
      <c r="A262" s="182">
        <v>1</v>
      </c>
      <c r="B262" s="185" t="s">
        <v>69</v>
      </c>
      <c r="C262" s="55" t="s">
        <v>107</v>
      </c>
      <c r="D262" s="26" t="str">
        <f>IF(AND(NOT(ISBLANK(PartnerType)),OR(NOT(ConfigureAS2=FALSE),ISBLANK(ConfigureAS2)),Framework="DSV"),CONCATENATE("/DSV_ACCOUNTS_mb/DSV_AS2_mb/DSV_",IF(PartnerType="cus","CUSTOMERS",IF(PartnerType="par","PARTNERS",IF(PartnerType="dsv","INTERNALS",IF(PartnerType="util","UTIL","Somehow a Partner Type is missing")))),"_mb"),"")</f>
        <v/>
      </c>
      <c r="F262" s="8"/>
    </row>
    <row r="263" spans="1:6" x14ac:dyDescent="0.25">
      <c r="A263" s="183"/>
      <c r="B263" s="186"/>
      <c r="C263" s="55" t="s">
        <v>69</v>
      </c>
      <c r="D263" s="26" t="str">
        <f>IF(AND(NOT(ISBLANK(PartnerType)),OR(NOT(ConfigureAS2=FALSE),ISBLANK(ConfigureAS2)),Framework="DSV"),"DSV_"&amp;UserAccount&amp;"_mb","")</f>
        <v/>
      </c>
      <c r="F263" s="8"/>
    </row>
    <row r="264" spans="1:6" x14ac:dyDescent="0.25">
      <c r="A264" s="184"/>
      <c r="B264" s="187"/>
      <c r="C264" s="55" t="s">
        <v>81</v>
      </c>
      <c r="D264" s="26" t="str">
        <f>IF(AND(NOT(ISBLANK(PartnerType)),OR(NOT(ConfigureAS2=FALSE),ISBLANK(ConfigureAS2)),Framework="DSV"),"Root mailbox for "&amp;PartnerName&amp;" for AS2","")</f>
        <v/>
      </c>
      <c r="F264" s="8"/>
    </row>
    <row r="265" spans="1:6" x14ac:dyDescent="0.25">
      <c r="A265" s="54">
        <v>2</v>
      </c>
      <c r="B265" s="55" t="s">
        <v>108</v>
      </c>
      <c r="C265" s="55" t="s">
        <v>93</v>
      </c>
      <c r="D265" s="26" t="str">
        <f>IF(AND(NOT(ISBLANK(PartnerType)),OR(NOT(ConfigureAS2=FALSE),ISBLANK(ConfigureAS2)),Framework="DSV"),"Mailbox Administrators","")</f>
        <v/>
      </c>
      <c r="F265" s="8"/>
    </row>
    <row r="266" spans="1:6" x14ac:dyDescent="0.25">
      <c r="A266" s="54">
        <v>3</v>
      </c>
      <c r="B266" s="55" t="s">
        <v>109</v>
      </c>
      <c r="C266" s="55" t="s">
        <v>110</v>
      </c>
      <c r="D266" s="71" t="str">
        <f>IF(AND(NOT(ISBLANK(PartnerType)),OR(NOT(ConfigureAS2=FALSE),ISBLANK(ConfigureAS2)),Framework="DSV"),"&lt;Leave empty&gt;","")</f>
        <v/>
      </c>
      <c r="F266" s="8"/>
    </row>
    <row r="267" spans="1:6" x14ac:dyDescent="0.25">
      <c r="A267"/>
      <c r="B267"/>
      <c r="C267"/>
      <c r="D267"/>
      <c r="F267" s="8"/>
    </row>
    <row r="268" spans="1:6" x14ac:dyDescent="0.25">
      <c r="A268"/>
      <c r="B268"/>
      <c r="C268"/>
      <c r="D268"/>
      <c r="F268" s="8"/>
    </row>
    <row r="269" spans="1:6" x14ac:dyDescent="0.25">
      <c r="A269"/>
      <c r="B269"/>
      <c r="C269"/>
      <c r="D269"/>
      <c r="F269" s="8"/>
    </row>
    <row r="270" spans="1:6" x14ac:dyDescent="0.25">
      <c r="A270"/>
      <c r="B270"/>
      <c r="C270"/>
      <c r="D270"/>
      <c r="F270" s="8"/>
    </row>
    <row r="271" spans="1:6" x14ac:dyDescent="0.25">
      <c r="A271"/>
      <c r="B271"/>
      <c r="C271"/>
      <c r="D271"/>
      <c r="F271" s="8"/>
    </row>
    <row r="272" spans="1:6" x14ac:dyDescent="0.25">
      <c r="A272"/>
      <c r="B272"/>
      <c r="C272"/>
      <c r="D272"/>
      <c r="F272" s="8"/>
    </row>
    <row r="273" spans="1:6" x14ac:dyDescent="0.25">
      <c r="A273"/>
      <c r="B273"/>
      <c r="C273"/>
      <c r="D273"/>
      <c r="F273" s="8"/>
    </row>
    <row r="274" spans="1:6" x14ac:dyDescent="0.25">
      <c r="A274"/>
      <c r="B274"/>
      <c r="C274"/>
      <c r="D274"/>
      <c r="F274" s="8"/>
    </row>
    <row r="275" spans="1:6" x14ac:dyDescent="0.25">
      <c r="A275"/>
      <c r="B275"/>
      <c r="C275"/>
      <c r="D275"/>
      <c r="F275" s="8"/>
    </row>
    <row r="276" spans="1:6" x14ac:dyDescent="0.25">
      <c r="A276"/>
      <c r="B276"/>
      <c r="C276"/>
      <c r="D276"/>
      <c r="F276" s="8"/>
    </row>
    <row r="277" spans="1:6" x14ac:dyDescent="0.25">
      <c r="A277"/>
      <c r="B277"/>
      <c r="C277"/>
      <c r="D277"/>
      <c r="F277" s="8"/>
    </row>
    <row r="278" spans="1:6" x14ac:dyDescent="0.25">
      <c r="A278"/>
      <c r="B278"/>
      <c r="C278"/>
      <c r="D278"/>
      <c r="F278" s="8"/>
    </row>
    <row r="279" spans="1:6" x14ac:dyDescent="0.25">
      <c r="A279"/>
      <c r="B279"/>
      <c r="C279"/>
      <c r="D279"/>
      <c r="F279" s="8"/>
    </row>
    <row r="280" spans="1:6" x14ac:dyDescent="0.25">
      <c r="A280"/>
      <c r="B280"/>
      <c r="C280"/>
      <c r="D280"/>
      <c r="F280" s="8"/>
    </row>
    <row r="281" spans="1:6" x14ac:dyDescent="0.25">
      <c r="A281"/>
      <c r="B281"/>
      <c r="C281"/>
      <c r="D281"/>
      <c r="F281" s="8"/>
    </row>
    <row r="282" spans="1:6" x14ac:dyDescent="0.25">
      <c r="A282"/>
      <c r="B282"/>
      <c r="C282"/>
      <c r="D282"/>
      <c r="F282" s="8"/>
    </row>
    <row r="283" spans="1:6" x14ac:dyDescent="0.25">
      <c r="A283"/>
      <c r="B283"/>
      <c r="C283"/>
      <c r="D283"/>
      <c r="F283" s="8"/>
    </row>
    <row r="284" spans="1:6" x14ac:dyDescent="0.25">
      <c r="A284"/>
      <c r="B284"/>
      <c r="C284"/>
      <c r="D284"/>
      <c r="F284" s="8"/>
    </row>
    <row r="285" spans="1:6" x14ac:dyDescent="0.25">
      <c r="A285"/>
      <c r="B285"/>
      <c r="C285"/>
      <c r="D285"/>
      <c r="F285" s="8"/>
    </row>
    <row r="286" spans="1:6" x14ac:dyDescent="0.25">
      <c r="A286"/>
      <c r="B286"/>
      <c r="C286"/>
      <c r="D286"/>
      <c r="F286" s="8"/>
    </row>
    <row r="287" spans="1:6" x14ac:dyDescent="0.25">
      <c r="A287"/>
      <c r="B287"/>
      <c r="C287"/>
      <c r="D287"/>
      <c r="F287" s="8"/>
    </row>
    <row r="288" spans="1:6" x14ac:dyDescent="0.25">
      <c r="A288"/>
      <c r="B288"/>
      <c r="C288"/>
      <c r="D288"/>
      <c r="F288" s="8"/>
    </row>
    <row r="289" spans="1:6" x14ac:dyDescent="0.25">
      <c r="A289"/>
      <c r="B289"/>
      <c r="C289"/>
      <c r="D289"/>
      <c r="F289" s="8"/>
    </row>
    <row r="290" spans="1:6" x14ac:dyDescent="0.25">
      <c r="A290"/>
      <c r="B290"/>
      <c r="C290"/>
      <c r="D290"/>
      <c r="F290" s="8"/>
    </row>
  </sheetData>
  <mergeCells count="42">
    <mergeCell ref="A262:A264"/>
    <mergeCell ref="B262:B264"/>
    <mergeCell ref="A219:A227"/>
    <mergeCell ref="B219:B227"/>
    <mergeCell ref="A228:A232"/>
    <mergeCell ref="B228:B232"/>
    <mergeCell ref="A203:A204"/>
    <mergeCell ref="B203:B204"/>
    <mergeCell ref="A205:A218"/>
    <mergeCell ref="B205:B218"/>
    <mergeCell ref="A140:A141"/>
    <mergeCell ref="B140:B141"/>
    <mergeCell ref="A142:A143"/>
    <mergeCell ref="B142:B143"/>
    <mergeCell ref="A144:A157"/>
    <mergeCell ref="B144:B157"/>
    <mergeCell ref="A158:A166"/>
    <mergeCell ref="B158:B166"/>
    <mergeCell ref="A167:A171"/>
    <mergeCell ref="B167:B171"/>
    <mergeCell ref="A201:A202"/>
    <mergeCell ref="B201:B202"/>
    <mergeCell ref="A97:A105"/>
    <mergeCell ref="B97:B105"/>
    <mergeCell ref="A106:A110"/>
    <mergeCell ref="B106:B110"/>
    <mergeCell ref="A79:A80"/>
    <mergeCell ref="B79:B80"/>
    <mergeCell ref="A81:A82"/>
    <mergeCell ref="B81:B82"/>
    <mergeCell ref="A83:A96"/>
    <mergeCell ref="B83:B96"/>
    <mergeCell ref="B18:B19"/>
    <mergeCell ref="B36:B44"/>
    <mergeCell ref="B45:B49"/>
    <mergeCell ref="B20:B21"/>
    <mergeCell ref="B22:B35"/>
    <mergeCell ref="A18:A19"/>
    <mergeCell ref="A20:A21"/>
    <mergeCell ref="A22:A35"/>
    <mergeCell ref="A36:A44"/>
    <mergeCell ref="A45:A49"/>
  </mergeCells>
  <dataValidations count="1">
    <dataValidation type="list" showInputMessage="1" showErrorMessage="1" error="Select a valid value from the dropdown menu." sqref="D99:E99 D160:E160 D221:E221 D38:E38" xr:uid="{00000000-0002-0000-1000-000000000000}">
      <formula1>AS2MIMESubTypes</formula1>
    </dataValidation>
  </dataValidations>
  <pageMargins left="0.7" right="0.7" top="0.75" bottom="0.75" header="0.3" footer="0.3"/>
  <pageSetup paperSize="9" orientation="portrait" horizontalDpi="300" verticalDpi="300" r:id="rId1"/>
  <headerFooter>
    <oddFooter>&amp;C_x000D_&amp;1#&amp;"Calibri"&amp;10&amp;K000000 DSV internal</oddFooter>
  </headerFooter>
  <ignoredErrors>
    <ignoredError sqref="D27 D30 D32"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FFC000"/>
  </sheetPr>
  <dimension ref="A1:C25"/>
  <sheetViews>
    <sheetView workbookViewId="0">
      <selection activeCell="A8" sqref="A8:B8"/>
    </sheetView>
  </sheetViews>
  <sheetFormatPr defaultRowHeight="15" x14ac:dyDescent="0.25"/>
  <cols>
    <col min="1" max="1" width="24.140625" bestFit="1" customWidth="1"/>
    <col min="2" max="2" width="72.140625" customWidth="1"/>
    <col min="3" max="3" width="78.85546875" customWidth="1"/>
  </cols>
  <sheetData>
    <row r="1" spans="1:3" x14ac:dyDescent="0.25">
      <c r="A1" s="75" t="s">
        <v>248</v>
      </c>
      <c r="B1" s="114"/>
      <c r="C1" s="75" t="s">
        <v>301</v>
      </c>
    </row>
    <row r="2" spans="1:3" x14ac:dyDescent="0.25">
      <c r="A2" s="114"/>
      <c r="B2" s="114"/>
      <c r="C2" s="114"/>
    </row>
    <row r="3" spans="1:3" x14ac:dyDescent="0.25">
      <c r="A3" s="16"/>
    </row>
    <row r="4" spans="1:3" x14ac:dyDescent="0.25">
      <c r="A4" s="197" t="s">
        <v>570</v>
      </c>
      <c r="B4" s="197"/>
    </row>
    <row r="5" spans="1:3" x14ac:dyDescent="0.25">
      <c r="A5" s="16"/>
      <c r="B5" s="16"/>
    </row>
    <row r="6" spans="1:3" x14ac:dyDescent="0.25">
      <c r="A6" s="16" t="s">
        <v>571</v>
      </c>
      <c r="B6" s="16"/>
    </row>
    <row r="7" spans="1:3" x14ac:dyDescent="0.25">
      <c r="A7" s="198" t="s">
        <v>575</v>
      </c>
      <c r="B7" s="198"/>
    </row>
    <row r="8" spans="1:3" x14ac:dyDescent="0.25">
      <c r="A8" s="196"/>
      <c r="B8" s="196"/>
      <c r="C8" s="60"/>
    </row>
    <row r="10" spans="1:3" x14ac:dyDescent="0.25">
      <c r="A10" s="16" t="s">
        <v>572</v>
      </c>
    </row>
    <row r="11" spans="1:3" x14ac:dyDescent="0.25">
      <c r="A11" s="199" t="s">
        <v>574</v>
      </c>
      <c r="B11" s="199"/>
    </row>
    <row r="12" spans="1:3" x14ac:dyDescent="0.25">
      <c r="A12" s="196"/>
      <c r="B12" s="196"/>
      <c r="C12" s="60"/>
    </row>
    <row r="14" spans="1:3" x14ac:dyDescent="0.25">
      <c r="A14" s="16" t="s">
        <v>573</v>
      </c>
    </row>
    <row r="15" spans="1:3" x14ac:dyDescent="0.25">
      <c r="A15" s="199" t="s">
        <v>576</v>
      </c>
      <c r="B15" s="199"/>
    </row>
    <row r="16" spans="1:3" x14ac:dyDescent="0.25">
      <c r="A16" s="196"/>
      <c r="B16" s="196"/>
      <c r="C16" s="60"/>
    </row>
    <row r="18" spans="1:3" ht="15.75" thickBot="1" x14ac:dyDescent="0.3"/>
    <row r="19" spans="1:3" ht="16.5" thickTop="1" thickBot="1" x14ac:dyDescent="0.3">
      <c r="A19" s="66"/>
      <c r="B19" s="66"/>
      <c r="C19" s="66"/>
    </row>
    <row r="20" spans="1:3" ht="15.75" thickTop="1" x14ac:dyDescent="0.25"/>
    <row r="22" spans="1:3" x14ac:dyDescent="0.25">
      <c r="A22" s="197" t="s">
        <v>249</v>
      </c>
      <c r="B22" s="197"/>
    </row>
    <row r="23" spans="1:3" x14ac:dyDescent="0.25">
      <c r="A23" s="16"/>
      <c r="B23" s="16"/>
    </row>
    <row r="24" spans="1:3" x14ac:dyDescent="0.25">
      <c r="A24" s="198" t="s">
        <v>1175</v>
      </c>
      <c r="B24" s="198"/>
    </row>
    <row r="25" spans="1:3" x14ac:dyDescent="0.25">
      <c r="A25" s="196"/>
      <c r="B25" s="196"/>
      <c r="C25" s="60"/>
    </row>
  </sheetData>
  <mergeCells count="10">
    <mergeCell ref="A25:B25"/>
    <mergeCell ref="A4:B4"/>
    <mergeCell ref="A7:B7"/>
    <mergeCell ref="A8:B8"/>
    <mergeCell ref="A22:B22"/>
    <mergeCell ref="A24:B24"/>
    <mergeCell ref="A11:B11"/>
    <mergeCell ref="A12:B12"/>
    <mergeCell ref="A15:B15"/>
    <mergeCell ref="A16:B16"/>
  </mergeCells>
  <pageMargins left="0.7" right="0.7" top="0.75" bottom="0.75" header="0.3" footer="0.3"/>
  <pageSetup paperSize="9" orientation="portrait" r:id="rId1"/>
  <headerFooter>
    <oddFooter>&amp;C_x000D_&amp;1#&amp;"Calibri"&amp;10&amp;K000000 DSV internal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G55"/>
  <sheetViews>
    <sheetView workbookViewId="0">
      <selection activeCell="D3" sqref="D3"/>
    </sheetView>
  </sheetViews>
  <sheetFormatPr defaultRowHeight="15" x14ac:dyDescent="0.25"/>
  <cols>
    <col min="1" max="1" width="9.140625" style="49"/>
    <col min="2" max="2" width="19" style="49" bestFit="1" customWidth="1"/>
    <col min="3" max="3" width="30.140625" style="32" customWidth="1"/>
    <col min="4" max="4" width="66.7109375" style="8" customWidth="1"/>
    <col min="5" max="7" width="49.85546875" customWidth="1"/>
  </cols>
  <sheetData>
    <row r="1" spans="1:7" x14ac:dyDescent="0.25">
      <c r="A1" s="200" t="s">
        <v>259</v>
      </c>
      <c r="B1" s="200"/>
      <c r="C1" s="25"/>
      <c r="D1"/>
    </row>
    <row r="2" spans="1:7" x14ac:dyDescent="0.25">
      <c r="A2" s="16"/>
      <c r="B2"/>
      <c r="C2" s="25"/>
      <c r="D2"/>
    </row>
    <row r="3" spans="1:7" ht="30" x14ac:dyDescent="0.25">
      <c r="A3" s="16"/>
      <c r="B3"/>
      <c r="C3" s="26" t="s">
        <v>294</v>
      </c>
      <c r="D3" s="46"/>
    </row>
    <row r="4" spans="1:7" x14ac:dyDescent="0.25">
      <c r="A4" s="16"/>
      <c r="B4"/>
      <c r="C4" s="25"/>
      <c r="D4"/>
    </row>
    <row r="5" spans="1:7" ht="45" x14ac:dyDescent="0.25">
      <c r="A5" s="16"/>
      <c r="B5"/>
      <c r="C5" s="26" t="s">
        <v>293</v>
      </c>
      <c r="D5" s="46"/>
    </row>
    <row r="6" spans="1:7" x14ac:dyDescent="0.25">
      <c r="A6" s="16"/>
      <c r="B6"/>
      <c r="C6" s="25"/>
      <c r="D6"/>
    </row>
    <row r="7" spans="1:7" x14ac:dyDescent="0.25">
      <c r="A7" s="16"/>
      <c r="B7"/>
      <c r="C7" s="25"/>
      <c r="D7"/>
    </row>
    <row r="8" spans="1:7" x14ac:dyDescent="0.25">
      <c r="A8"/>
      <c r="B8"/>
      <c r="C8" s="25"/>
      <c r="D8"/>
    </row>
    <row r="9" spans="1:7" x14ac:dyDescent="0.25">
      <c r="A9" s="47" t="s">
        <v>67</v>
      </c>
      <c r="B9" s="23" t="s">
        <v>68</v>
      </c>
      <c r="C9" s="35" t="s">
        <v>59</v>
      </c>
      <c r="D9" s="23" t="s">
        <v>295</v>
      </c>
      <c r="E9" s="23" t="s">
        <v>296</v>
      </c>
      <c r="F9" s="23" t="s">
        <v>297</v>
      </c>
      <c r="G9" s="23" t="s">
        <v>298</v>
      </c>
    </row>
    <row r="10" spans="1:7" x14ac:dyDescent="0.25">
      <c r="A10" s="54">
        <v>1</v>
      </c>
      <c r="B10" s="54" t="s">
        <v>260</v>
      </c>
      <c r="C10" s="30" t="s">
        <v>261</v>
      </c>
      <c r="D10" s="29" t="str">
        <f>IF(AND(OR(NOT(ConfigureMailClientAdapter=FALSE),ISBLANK(ConfigureMailClientAdapter)),NOT(ISBLANK(EmailUser)),NOT(ISBLANK(EmailUser5Characters))),"B2B Mail Client Adapter","")</f>
        <v/>
      </c>
      <c r="F10" s="8"/>
    </row>
    <row r="11" spans="1:7" x14ac:dyDescent="0.25">
      <c r="A11" s="182">
        <v>2</v>
      </c>
      <c r="B11" s="182" t="s">
        <v>69</v>
      </c>
      <c r="C11" s="30" t="s">
        <v>69</v>
      </c>
      <c r="D11" s="29" t="str">
        <f>IF(AND(OR(NOT(ConfigureMailClientAdapter=FALSE),ISBLANK(ConfigureMailClientAdapter)),NOT(ISBLANK(EmailUser)),NOT(ISBLANK(EmailUser5Characters))),CONCATENATE("DSV_B2B_Mail_Client_Adapter_",EmailUser,"_cf"),"")</f>
        <v/>
      </c>
    </row>
    <row r="12" spans="1:7" x14ac:dyDescent="0.25">
      <c r="A12" s="183"/>
      <c r="B12" s="183"/>
      <c r="C12" s="30" t="s">
        <v>81</v>
      </c>
      <c r="D12" s="29" t="str">
        <f>IF(AND(OR(NOT(ConfigureMailClientAdapter=FALSE),ISBLANK(ConfigureMailClientAdapter)),NOT(ISBLANK(EmailUser)),NOT(ISBLANK(EmailUser5Characters))),CONCATENATE("G.APP.0326.",EmailUser5Characters,".dev"," for ",EmailUser, "_at_dev.b2b.dsv.net"),"")</f>
        <v/>
      </c>
      <c r="E12" s="29" t="str">
        <f>IF(AND(OR(NOT(ConfigureMailClientAdapter=FALSE),ISBLANK(ConfigureMailClientAdapter)),NOT(ISBLANK(EmailUser)),NOT(ISBLANK(EmailUser5Characters))),CONCATENATE("G.APP.0326.",EmailUser5Characters,".tst"," for ",EmailUser, "_at_test.b2b.dsv.net"),"")</f>
        <v/>
      </c>
      <c r="F12" s="29" t="str">
        <f>IF(AND(OR(NOT(ConfigureMailClientAdapter=FALSE),ISBLANK(ConfigureMailClientAdapter)),NOT(ISBLANK(EmailUser)),NOT(ISBLANK(EmailUser5Characters))),CONCATENATE("G.APP.0326.",EmailUser5Characters,".qa"," for ",EmailUser, "_at_qa.b2b.dsv.net"),"")</f>
        <v/>
      </c>
      <c r="G12" s="29" t="str">
        <f>IF(AND(OR(NOT(ConfigureMailClientAdapter=FALSE),ISBLANK(ConfigureMailClientAdapter)),NOT(ISBLANK(EmailUser)),NOT(ISBLANK(EmailUser5Characters))),CONCATENATE("G.APP.0326.",EmailUser5Characters,".prd"," for ",EmailUser, "_at_b2b.dsv.net"),"")</f>
        <v/>
      </c>
    </row>
    <row r="13" spans="1:7" x14ac:dyDescent="0.25">
      <c r="A13" s="184"/>
      <c r="B13" s="184"/>
      <c r="C13" s="30" t="s">
        <v>262</v>
      </c>
      <c r="D13" s="29" t="str">
        <f>IF(AND(OR(NOT(ConfigureMailClientAdapter=FALSE),ISBLANK(ConfigureMailClientAdapter)),NOT(ISBLANK(EmailUser)),NOT(ISBLANK(EmailUser5Characters))),"None","")</f>
        <v/>
      </c>
    </row>
    <row r="14" spans="1:7" ht="30" x14ac:dyDescent="0.25">
      <c r="A14" s="182">
        <v>3</v>
      </c>
      <c r="B14" s="182" t="s">
        <v>263</v>
      </c>
      <c r="C14" s="30" t="s">
        <v>264</v>
      </c>
      <c r="D14" s="29" t="str">
        <f>IF(AND(OR(NOT(ConfigureMailClientAdapter=FALSE),ISBLANK(ConfigureMailClientAdapter)),NOT(ISBLANK(EmailUser)),NOT(ISBLANK(EmailUser5Characters))),"IMAP","")</f>
        <v/>
      </c>
    </row>
    <row r="15" spans="1:7" x14ac:dyDescent="0.25">
      <c r="A15" s="183"/>
      <c r="B15" s="183"/>
      <c r="C15" s="30" t="s">
        <v>265</v>
      </c>
      <c r="D15" s="29" t="str">
        <f>IF(AND(OR(NOT(ConfigureMailClientAdapter=FALSE),ISBLANK(ConfigureMailClientAdapter)),NOT(ISBLANK(EmailUser)),NOT(ISBLANK(EmailUser5Characters))),"outlook.office365.com","")</f>
        <v/>
      </c>
    </row>
    <row r="16" spans="1:7" x14ac:dyDescent="0.25">
      <c r="A16" s="183"/>
      <c r="B16" s="183"/>
      <c r="C16" s="30" t="s">
        <v>266</v>
      </c>
      <c r="D16" s="29" t="str">
        <f>IF(AND(OR(NOT(ConfigureMailClientAdapter=FALSE),ISBLANK(ConfigureMailClientAdapter)),NOT(ISBLANK(EmailUser)),NOT(ISBLANK(EmailUser5Characters))),"993","")</f>
        <v/>
      </c>
    </row>
    <row r="17" spans="1:7" x14ac:dyDescent="0.25">
      <c r="A17" s="183"/>
      <c r="B17" s="183"/>
      <c r="C17" s="30" t="s">
        <v>267</v>
      </c>
      <c r="D17" s="29" t="str">
        <f>IF(AND(OR(NOT(ConfigureMailClientAdapter=FALSE),ISBLANK(ConfigureMailClientAdapter)),NOT(ISBLANK(EmailUser)),NOT(ISBLANK(EmailUser5Characters))),CONCATENATE("G.APP.0326.",EmailUser5Characters,".dev", "@dsv.com"),"")</f>
        <v/>
      </c>
      <c r="E17" s="29" t="str">
        <f>IF(AND(OR(NOT(ConfigureMailClientAdapter=FALSE),ISBLANK(ConfigureMailClientAdapter)),NOT(ISBLANK(EmailUser)),NOT(ISBLANK(EmailUser5Characters))),CONCATENATE("G.APP.0326.",EmailUser5Characters,".tst", "@dsv.com"),"")</f>
        <v/>
      </c>
      <c r="F17" s="29" t="str">
        <f>IF(AND(OR(NOT(ConfigureMailClientAdapter=FALSE),ISBLANK(ConfigureMailClientAdapter)),NOT(ISBLANK(EmailUser)),NOT(ISBLANK(EmailUser5Characters))),CONCATENATE("G.APP.0326.",EmailUser5Characters,".qa", "@dsv.com"),"")</f>
        <v/>
      </c>
      <c r="G17" s="29" t="str">
        <f>IF(AND(OR(NOT(ConfigureMailClientAdapter=FALSE),ISBLANK(ConfigureMailClientAdapter)),NOT(ISBLANK(EmailUser)),NOT(ISBLANK(EmailUser5Characters))),CONCATENATE("G.APP.0326.",EmailUser5Characters,".prd", "@dsv.com"),"")</f>
        <v/>
      </c>
    </row>
    <row r="18" spans="1:7" x14ac:dyDescent="0.25">
      <c r="A18" s="183"/>
      <c r="B18" s="183"/>
      <c r="C18" s="30" t="s">
        <v>1</v>
      </c>
      <c r="D18" s="59"/>
    </row>
    <row r="19" spans="1:7" x14ac:dyDescent="0.25">
      <c r="A19" s="183"/>
      <c r="B19" s="183"/>
      <c r="C19" s="30" t="s">
        <v>268</v>
      </c>
      <c r="D19" s="29" t="str">
        <f>IF(AND(OR(NOT(ConfigureMailClientAdapter=FALSE),ISBLANK(ConfigureMailClientAdapter)),NOT(ISBLANK(EmailUser)),NOT(ISBLANK(EmailUser5Characters))),"3","")</f>
        <v/>
      </c>
    </row>
    <row r="20" spans="1:7" x14ac:dyDescent="0.25">
      <c r="A20" s="183"/>
      <c r="B20" s="183"/>
      <c r="C20" s="30" t="s">
        <v>269</v>
      </c>
      <c r="D20" s="29" t="str">
        <f>IF(AND(OR(NOT(ConfigureMailClientAdapter=FALSE),ISBLANK(ConfigureMailClientAdapter)),NOT(ISBLANK(EmailUser)),NOT(ISBLANK(EmailUser5Characters))),"1","")</f>
        <v/>
      </c>
    </row>
    <row r="21" spans="1:7" x14ac:dyDescent="0.25">
      <c r="A21" s="183"/>
      <c r="B21" s="183"/>
      <c r="C21" s="30" t="s">
        <v>270</v>
      </c>
      <c r="D21" s="29" t="str">
        <f>IF(AND(OR(NOT(ConfigureMailClientAdapter=FALSE),ISBLANK(ConfigureMailClientAdapter)),NOT(ISBLANK(EmailUser)),NOT(ISBLANK(EmailUser5Characters))),"500","")</f>
        <v/>
      </c>
    </row>
    <row r="22" spans="1:7" x14ac:dyDescent="0.25">
      <c r="A22" s="183"/>
      <c r="B22" s="183"/>
      <c r="C22" s="30" t="s">
        <v>271</v>
      </c>
      <c r="D22" s="29" t="str">
        <f>IF(AND(OR(NOT(ConfigureMailClientAdapter=FALSE),ISBLANK(ConfigureMailClientAdapter)),NOT(ISBLANK(EmailUser)),NOT(ISBLANK(EmailUser5Characters))),"Yes","")</f>
        <v/>
      </c>
    </row>
    <row r="23" spans="1:7" ht="30" x14ac:dyDescent="0.25">
      <c r="A23" s="183"/>
      <c r="B23" s="183"/>
      <c r="C23" s="30" t="s">
        <v>282</v>
      </c>
      <c r="D23" s="29" t="str">
        <f>IF(AND(OR(NOT(ConfigureMailClientAdapter=FALSE),ISBLANK(ConfigureMailClientAdapter)),NOT(ISBLANK(EmailUser)),NOT(ISBLANK(EmailUser5Characters))),"No","")</f>
        <v/>
      </c>
    </row>
    <row r="24" spans="1:7" ht="45" x14ac:dyDescent="0.25">
      <c r="A24" s="184"/>
      <c r="B24" s="184"/>
      <c r="C24" s="30" t="s">
        <v>272</v>
      </c>
      <c r="D24" s="44" t="str">
        <f>IF(AND(OR(NOT(ConfigureMailClientAdapter=FALSE),ISBLANK(ConfigureMailClientAdapter)),NOT(ISBLANK(EmailUser)),NOT(ISBLANK(EmailUser5Characters))),"&lt;Leave Empty&gt;","")</f>
        <v/>
      </c>
    </row>
    <row r="25" spans="1:7" ht="30" x14ac:dyDescent="0.25">
      <c r="A25" s="182">
        <v>4</v>
      </c>
      <c r="B25" s="182" t="s">
        <v>283</v>
      </c>
      <c r="C25" s="30" t="s">
        <v>290</v>
      </c>
      <c r="D25" s="44" t="str">
        <f>IF(AND(OR(NOT(ConfigureMailClientAdapter=FALSE),ISBLANK(ConfigureMailClientAdapter)),NOT(ISBLANK(EmailUser)),NOT(ISBLANK(EmailUser5Characters))),"&lt;Leave Empty&gt;","")</f>
        <v/>
      </c>
    </row>
    <row r="26" spans="1:7" ht="30" x14ac:dyDescent="0.25">
      <c r="A26" s="184"/>
      <c r="B26" s="184"/>
      <c r="C26" s="30" t="s">
        <v>291</v>
      </c>
      <c r="D26" s="44" t="str">
        <f>IF(AND(OR(NOT(ConfigureMailClientAdapter=FALSE),ISBLANK(ConfigureMailClientAdapter)),NOT(ISBLANK(EmailUser)),NOT(ISBLANK(EmailUser5Characters))),"&lt;Leave Empty&gt;","")</f>
        <v/>
      </c>
    </row>
    <row r="27" spans="1:7" x14ac:dyDescent="0.25">
      <c r="A27" s="182">
        <v>5</v>
      </c>
      <c r="B27" s="182" t="s">
        <v>211</v>
      </c>
      <c r="C27" s="30" t="s">
        <v>211</v>
      </c>
      <c r="D27" s="29" t="str">
        <f>IF(AND(OR(NOT(ConfigureMailClientAdapter=FALSE),ISBLANK(ConfigureMailClientAdapter)),NOT(ISBLANK(EmailUser)),NOT(ISBLANK(EmailUser5Characters))),"Must","")</f>
        <v/>
      </c>
    </row>
    <row r="28" spans="1:7" x14ac:dyDescent="0.25">
      <c r="A28" s="183"/>
      <c r="B28" s="183"/>
      <c r="C28" s="30" t="s">
        <v>213</v>
      </c>
      <c r="D28" s="44" t="str">
        <f>IF(AND(OR(NOT(ConfigureMailClientAdapter=FALSE),ISBLANK(ConfigureMailClientAdapter)),NOT(ISBLANK(EmailUser)),NOT(ISBLANK(EmailUser5Characters))),"&lt;Leave Empty&gt;","")</f>
        <v/>
      </c>
    </row>
    <row r="29" spans="1:7" x14ac:dyDescent="0.25">
      <c r="A29" s="183"/>
      <c r="B29" s="183"/>
      <c r="C29" s="30" t="s">
        <v>214</v>
      </c>
      <c r="D29" s="44" t="str">
        <f>IF(AND(OR(NOT(ConfigureMailClientAdapter=FALSE),ISBLANK(ConfigureMailClientAdapter)),NOT(ISBLANK(EmailUser)),NOT(ISBLANK(EmailUser5Characters))),"&lt;Leave as is&gt;","")</f>
        <v/>
      </c>
    </row>
    <row r="30" spans="1:7" x14ac:dyDescent="0.25">
      <c r="A30" s="183"/>
      <c r="B30" s="183"/>
      <c r="C30" s="30" t="s">
        <v>215</v>
      </c>
      <c r="D30" s="44" t="str">
        <f>IF(AND(OR(NOT(ConfigureMailClientAdapter=FALSE),ISBLANK(ConfigureMailClientAdapter)),NOT(ISBLANK(EmailUser)),NOT(ISBLANK(EmailUser5Characters))),"&lt;Leave Empty&gt;","")</f>
        <v/>
      </c>
    </row>
    <row r="31" spans="1:7" ht="360.75" customHeight="1" x14ac:dyDescent="0.25">
      <c r="A31" s="184"/>
      <c r="B31" s="184"/>
      <c r="C31" s="30" t="s">
        <v>292</v>
      </c>
      <c r="D31" s="26" t="str">
        <f>IF(AND(OR(NOT(ConfigureMailClientAdapter=FALSE),ISBLANK(ConfigureMailClientAdapter)),NOT(ISBLANK(EmailUser)),NOT(ISBLANK(EmailUser5Characters))),MailClientAdapterCACertificates,"")</f>
        <v/>
      </c>
      <c r="F31" s="53"/>
    </row>
    <row r="32" spans="1:7" x14ac:dyDescent="0.25">
      <c r="A32" s="182">
        <v>6</v>
      </c>
      <c r="B32" s="182" t="s">
        <v>284</v>
      </c>
      <c r="C32" s="30" t="s">
        <v>186</v>
      </c>
      <c r="D32" s="29" t="str">
        <f>IF(AND(OR(NOT(ConfigureMailClientAdapter=FALSE),ISBLANK(ConfigureMailClientAdapter)),NOT(ISBLANK(EmailUser)),NOT(ISBLANK(EmailUser5Characters))),CONCATENATE("G.APP.0326.",EmailUser5Characters,".dev", "@dsv.com"),"")</f>
        <v/>
      </c>
      <c r="E32" s="29" t="str">
        <f>IF(AND(OR(NOT(ConfigureMailClientAdapter=FALSE),ISBLANK(ConfigureMailClientAdapter)),NOT(ISBLANK(EmailUser)),NOT(ISBLANK(EmailUser5Characters))),CONCATENATE("G.APP.0326.",EmailUser5Characters,".tst", "@dsv.com"),"")</f>
        <v/>
      </c>
      <c r="F32" s="29" t="str">
        <f>IF(AND(OR(NOT(ConfigureMailClientAdapter=FALSE),ISBLANK(ConfigureMailClientAdapter)),NOT(ISBLANK(EmailUser)),NOT(ISBLANK(EmailUser5Characters))),CONCATENATE("G.APP.0326.",EmailUser5Characters,".qa", "@dsv.com"),"")</f>
        <v/>
      </c>
      <c r="G32" s="29" t="str">
        <f>IF(AND(OR(NOT(ConfigureMailClientAdapter=FALSE),ISBLANK(ConfigureMailClientAdapter)),NOT(ISBLANK(EmailUser)),NOT(ISBLANK(EmailUser5Characters))),CONCATENATE("G.APP.0326.",EmailUser5Characters,".prd", "@dsv.com"),"")</f>
        <v/>
      </c>
    </row>
    <row r="33" spans="1:4" x14ac:dyDescent="0.25">
      <c r="A33" s="183"/>
      <c r="B33" s="183"/>
      <c r="C33" s="30" t="s">
        <v>124</v>
      </c>
      <c r="D33" s="29" t="str">
        <f>IF(AND(OR(NOT(ConfigureMailClientAdapter=FALSE),ISBLANK(ConfigureMailClientAdapter)),NOT(ISBLANK(EmailUser)),NOT(ISBLANK(EmailUser5Characters))),IF(Framework="LW","DSV_BP_COLLECT_EMAIL","DSV_EmailExtraction_bp"),"")</f>
        <v/>
      </c>
    </row>
    <row r="34" spans="1:4" x14ac:dyDescent="0.25">
      <c r="A34" s="183"/>
      <c r="B34" s="183"/>
      <c r="C34" s="30" t="s">
        <v>274</v>
      </c>
      <c r="D34" s="29" t="str">
        <f>IF(AND(OR(NOT(ConfigureMailClientAdapter=FALSE),ISBLANK(ConfigureMailClientAdapter)),NOT(ISBLANK(EmailUser)),NOT(ISBLANK(EmailUser5Characters))),"[Not Applicable]","")</f>
        <v/>
      </c>
    </row>
    <row r="35" spans="1:4" x14ac:dyDescent="0.25">
      <c r="A35" s="184"/>
      <c r="B35" s="184"/>
      <c r="C35" s="30" t="s">
        <v>188</v>
      </c>
      <c r="D35" s="29" t="str">
        <f>IF(AND(OR(NOT(ConfigureMailClientAdapter=FALSE),ISBLANK(ConfigureMailClientAdapter)),NOT(ISBLANK(EmailUser)),NOT(ISBLANK(EmailUser5Characters))),"Yes","")</f>
        <v/>
      </c>
    </row>
    <row r="36" spans="1:4" x14ac:dyDescent="0.25">
      <c r="A36" s="54">
        <v>7</v>
      </c>
      <c r="B36" s="54" t="s">
        <v>285</v>
      </c>
      <c r="C36" s="30" t="s">
        <v>275</v>
      </c>
      <c r="D36" s="29" t="str">
        <f>IF(AND(OR(NOT(ConfigureMailClientAdapter=FALSE),ISBLANK(ConfigureMailClientAdapter)),NOT(ISBLANK(EmailUser)),NOT(ISBLANK(EmailUser5Characters))),"All mail header fields","")</f>
        <v/>
      </c>
    </row>
    <row r="37" spans="1:4" x14ac:dyDescent="0.25">
      <c r="A37" s="182">
        <v>8</v>
      </c>
      <c r="B37" s="182" t="s">
        <v>286</v>
      </c>
      <c r="C37" s="30" t="s">
        <v>276</v>
      </c>
      <c r="D37" s="29" t="str">
        <f>IF(AND(OR(NOT(ConfigureMailClientAdapter=FALSE),ISBLANK(ConfigureMailClientAdapter)),NOT(ISBLANK(EmailUser)),NOT(ISBLANK(EmailUser5Characters))),"admin","")</f>
        <v/>
      </c>
    </row>
    <row r="38" spans="1:4" x14ac:dyDescent="0.25">
      <c r="A38" s="183"/>
      <c r="B38" s="183"/>
      <c r="C38" s="30" t="s">
        <v>277</v>
      </c>
      <c r="D38" s="44" t="str">
        <f>IF(AND(OR(NOT(ConfigureMailClientAdapter=FALSE),ISBLANK(ConfigureMailClientAdapter)),NOT(ISBLANK(EmailUser)),NOT(ISBLANK(EmailUser5Characters))),"&lt;Unchecked&gt;","")</f>
        <v/>
      </c>
    </row>
    <row r="39" spans="1:4" x14ac:dyDescent="0.25">
      <c r="A39" s="184"/>
      <c r="B39" s="184"/>
      <c r="C39" s="30" t="s">
        <v>278</v>
      </c>
      <c r="D39" s="29" t="str">
        <f>IF(AND(OR(NOT(ConfigureMailClientAdapter=FALSE),ISBLANK(ConfigureMailClientAdapter)),NOT(ISBLANK(EmailUser)),NOT(ISBLANK(EmailUser5Characters))),"Run based on timer","")</f>
        <v/>
      </c>
    </row>
    <row r="40" spans="1:4" x14ac:dyDescent="0.25">
      <c r="A40" s="182">
        <v>9</v>
      </c>
      <c r="B40" s="182" t="s">
        <v>287</v>
      </c>
      <c r="C40" s="30" t="s">
        <v>279</v>
      </c>
      <c r="D40" s="29" t="str">
        <f>IF(AND(OR(NOT(ConfigureMailClientAdapter=FALSE),ISBLANK(ConfigureMailClientAdapter)),NOT(ISBLANK(EmailUser)),NOT(ISBLANK(EmailUser5Characters))),"0","")</f>
        <v/>
      </c>
    </row>
    <row r="41" spans="1:4" x14ac:dyDescent="0.25">
      <c r="A41" s="183"/>
      <c r="B41" s="183"/>
      <c r="C41" s="30" t="s">
        <v>280</v>
      </c>
      <c r="D41" s="29" t="str">
        <f>IF(AND(OR(NOT(ConfigureMailClientAdapter=FALSE),ISBLANK(ConfigureMailClientAdapter)),NOT(ISBLANK(EmailUser)),NOT(ISBLANK(EmailUser5Characters))),"5","")</f>
        <v/>
      </c>
    </row>
    <row r="42" spans="1:4" x14ac:dyDescent="0.25">
      <c r="A42" s="184"/>
      <c r="B42" s="184"/>
      <c r="C42" s="30" t="s">
        <v>281</v>
      </c>
      <c r="D42" s="44" t="str">
        <f>IF(AND(OR(NOT(ConfigureMailClientAdapter=FALSE),ISBLANK(ConfigureMailClientAdapter)),NOT(ISBLANK(EmailUser)),NOT(ISBLANK(EmailUser5Characters))),"&lt;Unchecked&gt;","")</f>
        <v/>
      </c>
    </row>
    <row r="43" spans="1:4" x14ac:dyDescent="0.25">
      <c r="A43" s="54">
        <v>10</v>
      </c>
      <c r="B43" s="54" t="s">
        <v>288</v>
      </c>
      <c r="C43" s="30" t="s">
        <v>273</v>
      </c>
      <c r="D43" s="44" t="str">
        <f>IF(AND(OR(NOT(ConfigureMailClientAdapter=FALSE),ISBLANK(ConfigureMailClientAdapter)),NOT(ISBLANK(EmailUser)),NOT(ISBLANK(EmailUser5Characters))),"&lt;Skip&gt;","")</f>
        <v/>
      </c>
    </row>
    <row r="44" spans="1:4" x14ac:dyDescent="0.25">
      <c r="A44" s="54">
        <v>11</v>
      </c>
      <c r="B44" s="54" t="s">
        <v>289</v>
      </c>
      <c r="C44" s="30" t="s">
        <v>273</v>
      </c>
      <c r="D44" s="44" t="str">
        <f>IF(AND(OR(NOT(ConfigureMailClientAdapter=FALSE),ISBLANK(ConfigureMailClientAdapter)),NOT(ISBLANK(EmailUser)),NOT(ISBLANK(EmailUser5Characters))),"&lt;Skip&gt;","")</f>
        <v/>
      </c>
    </row>
    <row r="54" spans="6:6" x14ac:dyDescent="0.25">
      <c r="F54" s="49"/>
    </row>
    <row r="55" spans="6:6" x14ac:dyDescent="0.25">
      <c r="F55" s="49"/>
    </row>
  </sheetData>
  <mergeCells count="15">
    <mergeCell ref="A1:B1"/>
    <mergeCell ref="A37:A39"/>
    <mergeCell ref="B37:B39"/>
    <mergeCell ref="A40:A42"/>
    <mergeCell ref="B40:B42"/>
    <mergeCell ref="A25:A26"/>
    <mergeCell ref="B25:B26"/>
    <mergeCell ref="A27:A31"/>
    <mergeCell ref="B27:B31"/>
    <mergeCell ref="A11:A13"/>
    <mergeCell ref="A14:A24"/>
    <mergeCell ref="B11:B13"/>
    <mergeCell ref="B14:B24"/>
    <mergeCell ref="A32:A35"/>
    <mergeCell ref="B32:B35"/>
  </mergeCells>
  <pageMargins left="0.7" right="0.7" top="0.75" bottom="0.75" header="0.3" footer="0.3"/>
  <pageSetup paperSize="9" orientation="portrait" r:id="rId1"/>
  <headerFooter>
    <oddFooter>&amp;C_x000D_&amp;1#&amp;"Calibri"&amp;10&amp;K000000 DSV internal</oddFooter>
  </headerFooter>
  <ignoredErrors>
    <ignoredError sqref="D27 D29"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C42"/>
  <sheetViews>
    <sheetView workbookViewId="0">
      <selection activeCell="B5" sqref="B5"/>
    </sheetView>
  </sheetViews>
  <sheetFormatPr defaultRowHeight="15" x14ac:dyDescent="0.25"/>
  <cols>
    <col min="1" max="1" width="49.28515625" style="25" customWidth="1"/>
    <col min="2" max="3" width="60.85546875" bestFit="1" customWidth="1"/>
    <col min="4" max="4" width="11.7109375" customWidth="1"/>
  </cols>
  <sheetData>
    <row r="1" spans="1:3" x14ac:dyDescent="0.25">
      <c r="A1" s="79" t="s">
        <v>369</v>
      </c>
    </row>
    <row r="3" spans="1:3" x14ac:dyDescent="0.25">
      <c r="A3" s="35" t="s">
        <v>191</v>
      </c>
      <c r="B3" s="46" t="b">
        <v>0</v>
      </c>
    </row>
    <row r="5" spans="1:3" ht="45" customHeight="1" x14ac:dyDescent="0.25">
      <c r="A5" s="104" t="str">
        <f>IF(NOT(ISBLANK(PartnerDesignation)),CONCATENATE("Enter the Partner Code ",CHAR(10),"'",PartnerDesignation,"'",CHAR(10),"in CamelNotation:"),"Please enter a value in the 'Party Code' field in the Master data worksheet.")</f>
        <v>Please enter a value in the 'Party Code' field in the Master data worksheet.</v>
      </c>
      <c r="B5" s="83"/>
    </row>
    <row r="8" spans="1:3" ht="15.75" thickBot="1" x14ac:dyDescent="0.3"/>
    <row r="9" spans="1:3" ht="16.5" thickTop="1" thickBot="1" x14ac:dyDescent="0.3">
      <c r="A9" s="201" t="s">
        <v>447</v>
      </c>
      <c r="B9" s="201"/>
      <c r="C9" s="201"/>
    </row>
    <row r="10" spans="1:3" ht="15.75" thickTop="1" x14ac:dyDescent="0.25"/>
    <row r="11" spans="1:3" x14ac:dyDescent="0.25">
      <c r="A11" s="35" t="s">
        <v>192</v>
      </c>
      <c r="B11" s="47" t="s">
        <v>193</v>
      </c>
      <c r="C11" s="47" t="s">
        <v>194</v>
      </c>
    </row>
    <row r="12" spans="1:3" x14ac:dyDescent="0.25">
      <c r="A12" s="35"/>
      <c r="B12" s="24"/>
      <c r="C12" s="24"/>
    </row>
    <row r="13" spans="1:3" x14ac:dyDescent="0.25">
      <c r="A13" s="35" t="s">
        <v>190</v>
      </c>
      <c r="B13" s="24" t="str">
        <f>IF(OR(ISBLANK(ConfigureHTTPURIAdapter),ConfigureHTTPURIAdapter=TRUE),IF(NOT(ISBLANK(PartnerInCamelNotation)),IF(UseSSL=TRUE,"DSV_SA_HTTP_SN1LOCAL_60443_SSL_cf","DSV_SA_HTTP_SN1LOCAL_60080_cf"),""),"")</f>
        <v/>
      </c>
      <c r="C13" s="24" t="str">
        <f>IF(OR(ISBLANK(ConfigureHTTPURIAdapter),ConfigureHTTPURIAdapter=TRUE),IF(NOT(ISBLANK(PartnerInCamelNotation)),IF(UseSSL=TRUE,"DSV_SA_HTTP_SN2LOCAL_60443_SSL_cf","DSV_SA_HTTP_SN2LOCAL_60080_cf"),""),"")</f>
        <v/>
      </c>
    </row>
    <row r="14" spans="1:3" x14ac:dyDescent="0.25">
      <c r="A14" s="35" t="s">
        <v>577</v>
      </c>
      <c r="B14" s="24" t="str">
        <f>IF(OR(ISBLANK(ConfigureHTTPURIAdapter),ConfigureHTTPURIAdapter=TRUE),IF(NOT(ISBLANK(PartnerInCamelNotation)),IF(UseSSL=TRUE,"","DSV_SA_HTTP_SN1LOCAL_30080_cf"),""),"")</f>
        <v/>
      </c>
      <c r="C14" s="24" t="str">
        <f>IF(OR(ISBLANK(ConfigureHTTPURIAdapter),ConfigureHTTPURIAdapter=TRUE),IF(NOT(ISBLANK(PartnerInCamelNotation)),IF(UseSSL=TRUE,"","DSV_SA_HTTP_SN2LOCAL_30080_cf"),""),"")</f>
        <v/>
      </c>
    </row>
    <row r="15" spans="1:3" x14ac:dyDescent="0.25">
      <c r="A15" s="35"/>
      <c r="B15" s="24"/>
      <c r="C15" s="24"/>
    </row>
    <row r="16" spans="1:3" x14ac:dyDescent="0.25">
      <c r="A16" s="35" t="s">
        <v>186</v>
      </c>
      <c r="B16" s="24" t="str">
        <f>IF(OR(ISBLANK(ConfigureHTTPURIAdapter),ConfigureHTTPURIAdapter=TRUE),IF(ISBLANK(UseSSL),"",IF(ISBLANK(PartnerInCamelNotation),"Please enter the partner in CamelNotation in the green cell above",CONCATENATE("ImportEDI/",PartnerInCamelNotation))),"")</f>
        <v/>
      </c>
      <c r="C16" s="24" t="str">
        <f>IF(OR(ISBLANK(ConfigureHTTPURIAdapter),ConfigureHTTPURIAdapter=TRUE),IF(ISBLANK(UseSSL),"",IF(ISBLANK(PartnerInCamelNotation),"Please enter the partner in CamelNotation in the green cell above",CONCATENATE("ImportEDI/",PartnerInCamelNotation))),"")</f>
        <v/>
      </c>
    </row>
    <row r="17" spans="1:3" x14ac:dyDescent="0.25">
      <c r="A17" s="35" t="s">
        <v>187</v>
      </c>
      <c r="B17" s="24" t="str">
        <f>IF(OR(ISBLANK(ConfigureHTTPURIAdapter),ConfigureHTTPURIAdapter=TRUE),IF(ISBLANK(UseSSL),"","Business Process"),"")</f>
        <v/>
      </c>
      <c r="C17" s="24" t="str">
        <f>IF(OR(ISBLANK(ConfigureHTTPURIAdapter),ConfigureHTTPURIAdapter=TRUE),IF(ISBLANK(UseSSL),"","Business Process"),"")</f>
        <v/>
      </c>
    </row>
    <row r="18" spans="1:3" x14ac:dyDescent="0.25">
      <c r="A18" s="35" t="s">
        <v>124</v>
      </c>
      <c r="B18" s="24" t="str">
        <f>IF(OR(ISBLANK(ConfigureHTTPURIAdapter),ConfigureHTTPURIAdapter=TRUE),IF(Framework="LW","DSV_BP_RECEIVE_HTTP_NoLogin_bp",IF(OR(ISBLANK(UseSSL),UseSSL=FALSE),"DSV_HttpExtract_Message_bp","DSV_HttpsExtract_Message_bp")),"")</f>
        <v/>
      </c>
      <c r="C18" s="24" t="str">
        <f>IF(OR(ISBLANK(ConfigureHTTPURIAdapter),ConfigureHTTPURIAdapter=TRUE),IF(Framework="LW","DSV_BP_RECEIVE_HTTP_NoLogin_bp",IF(OR(ISBLANK(UseSSL),UseSSL=FALSE),"DSV_HttpExtract_Message_bp","DSV_HttpsExtract_Message_bp")),"")</f>
        <v/>
      </c>
    </row>
    <row r="19" spans="1:3" x14ac:dyDescent="0.25">
      <c r="A19" s="35" t="s">
        <v>188</v>
      </c>
      <c r="B19" s="24" t="str">
        <f>IF(OR(ISBLANK(ConfigureHTTPURIAdapter),ConfigureHTTPURIAdapter=TRUE),IF(ISBLANK(UseSSL),"","No"),"")</f>
        <v/>
      </c>
      <c r="C19" s="24" t="str">
        <f>IF(OR(ISBLANK(ConfigureHTTPURIAdapter),ConfigureHTTPURIAdapter=TRUE),IF(ISBLANK(UseSSL),"","No"),"")</f>
        <v/>
      </c>
    </row>
    <row r="20" spans="1:3" x14ac:dyDescent="0.25">
      <c r="A20" s="35" t="s">
        <v>189</v>
      </c>
      <c r="B20" s="24" t="str">
        <f>IF(OR(ISBLANK(ConfigureHTTPURIAdapter),ConfigureHTTPURIAdapter=TRUE),IF(ISBLANK(UseSSL),"","No"),"")</f>
        <v/>
      </c>
      <c r="C20" s="24" t="str">
        <f>IF(OR(ISBLANK(ConfigureHTTPURIAdapter),ConfigureHTTPURIAdapter=TRUE),IF(ISBLANK(UseSSL),"","No"),"")</f>
        <v/>
      </c>
    </row>
    <row r="22" spans="1:3" x14ac:dyDescent="0.25">
      <c r="A22" s="69"/>
    </row>
    <row r="23" spans="1:3" ht="15.75" thickBot="1" x14ac:dyDescent="0.3">
      <c r="A23" s="69"/>
      <c r="B23" s="88"/>
      <c r="C23" s="88"/>
    </row>
    <row r="24" spans="1:3" ht="16.5" thickTop="1" thickBot="1" x14ac:dyDescent="0.3">
      <c r="A24" s="202" t="s">
        <v>448</v>
      </c>
      <c r="B24" s="203"/>
      <c r="C24" s="204"/>
    </row>
    <row r="25" spans="1:3" ht="15.75" thickTop="1" x14ac:dyDescent="0.25">
      <c r="A25" s="69"/>
    </row>
    <row r="26" spans="1:3" x14ac:dyDescent="0.25">
      <c r="A26" s="69"/>
    </row>
    <row r="27" spans="1:3" x14ac:dyDescent="0.25">
      <c r="A27" s="35" t="s">
        <v>192</v>
      </c>
      <c r="B27" s="47" t="s">
        <v>193</v>
      </c>
      <c r="C27" s="47" t="s">
        <v>194</v>
      </c>
    </row>
    <row r="28" spans="1:3" x14ac:dyDescent="0.25">
      <c r="A28" s="35"/>
      <c r="B28" s="24"/>
      <c r="C28" s="24"/>
    </row>
    <row r="29" spans="1:3" x14ac:dyDescent="0.25">
      <c r="A29" s="35" t="s">
        <v>190</v>
      </c>
      <c r="B29" s="24" t="str">
        <f>IF(OR(ISBLANK(ConfigureHTTPURIAdapter),ConfigureHTTPURIAdapter=TRUE),IF(NOT(ISBLANK(PartnerInCamelNotation)),IF(UseSSL=TRUE,"DSV_SA_HTTP_SN1LOCAL_60443_SSL_cf","DSV_SA_HTTP_SN1LOCAL_60080_cf"),""),"")</f>
        <v/>
      </c>
      <c r="C29" s="24" t="str">
        <f>IF(OR(ISBLANK(ConfigureHTTPURIAdapter),ConfigureHTTPURIAdapter=TRUE),IF(NOT(ISBLANK(PartnerInCamelNotation)),IF(UseSSL=TRUE,"DSV_SA_HTTP_SN2LOCAL_60443_SSL_cf","DSV_SA_HTTP_SN2LOCAL_60080_cf"),""),"")</f>
        <v/>
      </c>
    </row>
    <row r="30" spans="1:3" x14ac:dyDescent="0.25">
      <c r="A30" s="35" t="s">
        <v>577</v>
      </c>
      <c r="B30" s="24" t="str">
        <f>IF(OR(ISBLANK(ConfigureHTTPURIAdapter),ConfigureHTTPURIAdapter=TRUE),IF(NOT(ISBLANK(PartnerInCamelNotation)),IF(UseSSL=TRUE,"","DSV_SA_HTTP_SN1LOCAL_30080_cf"),""),"")</f>
        <v/>
      </c>
      <c r="C30" s="24" t="str">
        <f>IF(OR(ISBLANK(ConfigureHTTPURIAdapter),ConfigureHTTPURIAdapter=TRUE),IF(NOT(ISBLANK(PartnerInCamelNotation)),IF(UseSSL=TRUE,"","DSV_SA_HTTP_SN2LOCAL_30080_cf"),""),"")</f>
        <v/>
      </c>
    </row>
    <row r="31" spans="1:3" x14ac:dyDescent="0.25">
      <c r="A31" s="35"/>
      <c r="B31" s="24"/>
      <c r="C31" s="24"/>
    </row>
    <row r="32" spans="1:3" x14ac:dyDescent="0.25">
      <c r="A32" s="35" t="s">
        <v>186</v>
      </c>
      <c r="B32" s="24" t="str">
        <f>IF(OR(ISBLANK(ConfigureHTTPURIAdapter),ConfigureHTTPURIAdapter=TRUE),IF(ISBLANK(UseSSL),"",IF(ISBLANK(PartnerInCamelNotation),"Please enter the partner in CamelNotation in the green cell above",CONCATENATE("ImportEDI/",PartnerInCamelNotation))),"")</f>
        <v/>
      </c>
      <c r="C32" s="24" t="str">
        <f>IF(OR(ISBLANK(ConfigureHTTPURIAdapter),ConfigureHTTPURIAdapter=TRUE),IF(ISBLANK(UseSSL),"",IF(ISBLANK(PartnerInCamelNotation),"Please enter the partner in CamelNotation in the green cell above",CONCATENATE("ImportEDI/",PartnerInCamelNotation))),"")</f>
        <v/>
      </c>
    </row>
    <row r="33" spans="1:3" x14ac:dyDescent="0.25">
      <c r="A33" s="35" t="s">
        <v>187</v>
      </c>
      <c r="B33" s="24" t="str">
        <f>IF(OR(ISBLANK(ConfigureHTTPURIAdapter),ConfigureHTTPURIAdapter=TRUE),IF(ISBLANK(UseSSL),"","Business Process"),"")</f>
        <v/>
      </c>
      <c r="C33" s="24" t="str">
        <f>IF(OR(ISBLANK(ConfigureHTTPURIAdapter),ConfigureHTTPURIAdapter=TRUE),IF(ISBLANK(UseSSL),"","Business Process"),"")</f>
        <v/>
      </c>
    </row>
    <row r="34" spans="1:3" x14ac:dyDescent="0.25">
      <c r="A34" s="35" t="s">
        <v>124</v>
      </c>
      <c r="B34" s="24" t="str">
        <f>IF(OR(ISBLANK(ConfigureHTTPURIAdapter),ConfigureHTTPURIAdapter=TRUE),IF(Framework="LW","DSV_BP_RECEIVE_HTTP_NoLogin_bp",IF(OR(ISBLANK(UseSSL),UseSSL=FALSE),"DSV_HttpExtract_Message_bp","DSV_HttpsExtract_Message_bp")),"")</f>
        <v/>
      </c>
      <c r="C34" s="24" t="str">
        <f>IF(OR(ISBLANK(ConfigureHTTPURIAdapter),ConfigureHTTPURIAdapter=TRUE),IF(Framework="LW","DSV_BP_RECEIVE_HTTP_NoLogin_bp",IF(OR(ISBLANK(UseSSL),UseSSL=FALSE),"DSV_HttpExtract_Message_bp","DSV_HttpsExtract_Message_bp")),"")</f>
        <v/>
      </c>
    </row>
    <row r="35" spans="1:3" x14ac:dyDescent="0.25">
      <c r="A35" s="35" t="s">
        <v>188</v>
      </c>
      <c r="B35" s="24" t="str">
        <f>IF(OR(ISBLANK(ConfigureHTTPURIAdapter),ConfigureHTTPURIAdapter=TRUE),IF(ISBLANK(UseSSL),"","No"),"")</f>
        <v/>
      </c>
      <c r="C35" s="24" t="str">
        <f>IF(OR(ISBLANK(ConfigureHTTPURIAdapter),ConfigureHTTPURIAdapter=TRUE),IF(ISBLANK(UseSSL),"","No"),"")</f>
        <v/>
      </c>
    </row>
    <row r="36" spans="1:3" x14ac:dyDescent="0.25">
      <c r="A36" s="35" t="s">
        <v>189</v>
      </c>
      <c r="B36" s="24" t="str">
        <f>IF(OR(ISBLANK(ConfigureHTTPURIAdapter),ConfigureHTTPURIAdapter=TRUE),IF(ISBLANK(UseSSL),"","No"),"")</f>
        <v/>
      </c>
      <c r="C36" s="24" t="str">
        <f>IF(OR(ISBLANK(ConfigureHTTPURIAdapter),ConfigureHTTPURIAdapter=TRUE),IF(ISBLANK(UseSSL),"","No"),"")</f>
        <v/>
      </c>
    </row>
    <row r="37" spans="1:3" x14ac:dyDescent="0.25">
      <c r="A37" s="69"/>
    </row>
    <row r="38" spans="1:3" x14ac:dyDescent="0.25">
      <c r="A38" s="69"/>
    </row>
    <row r="39" spans="1:3" x14ac:dyDescent="0.25">
      <c r="A39" s="69"/>
    </row>
    <row r="40" spans="1:3" x14ac:dyDescent="0.25">
      <c r="A40" s="69"/>
    </row>
    <row r="41" spans="1:3" x14ac:dyDescent="0.25">
      <c r="A41" s="69"/>
    </row>
    <row r="42" spans="1:3" x14ac:dyDescent="0.25">
      <c r="A42" s="69"/>
    </row>
  </sheetData>
  <mergeCells count="2">
    <mergeCell ref="A9:C9"/>
    <mergeCell ref="A24:C24"/>
  </mergeCells>
  <conditionalFormatting sqref="A5">
    <cfRule type="expression" dxfId="0" priority="1">
      <formula>ISBLANK(PartnerDesignation)</formula>
    </cfRule>
  </conditionalFormatting>
  <dataValidations count="1">
    <dataValidation type="list" allowBlank="1" showInputMessage="1" showErrorMessage="1" error="Valid values are TRUE and FALSE." sqref="B3" xr:uid="{00000000-0002-0000-1300-000000000000}">
      <formula1>TrueOrFalse</formula1>
    </dataValidation>
  </dataValidations>
  <pageMargins left="0.7" right="0.7" top="0.75" bottom="0.75" header="0.3" footer="0.3"/>
  <pageSetup paperSize="9" orientation="portrait" r:id="rId1"/>
  <headerFooter>
    <oddFooter>&amp;C_x000D_&amp;1#&amp;"Calibri"&amp;10&amp;K000000 DSV internal</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BA4A4-53DD-4050-A637-A2489ED32ABE}">
  <sheetPr codeName="Sheet22">
    <tabColor rgb="FFFFC000"/>
  </sheetPr>
  <dimension ref="A1:E65"/>
  <sheetViews>
    <sheetView zoomScaleNormal="100" workbookViewId="0">
      <selection activeCell="B8" sqref="B8"/>
    </sheetView>
  </sheetViews>
  <sheetFormatPr defaultColWidth="9.140625" defaultRowHeight="15" x14ac:dyDescent="0.25"/>
  <cols>
    <col min="1" max="1" width="56.5703125" customWidth="1"/>
    <col min="2" max="2" width="41.28515625" bestFit="1" customWidth="1"/>
    <col min="3" max="3" width="28" bestFit="1" customWidth="1"/>
    <col min="4" max="4" width="68.5703125" customWidth="1"/>
    <col min="5" max="5" width="48.85546875" bestFit="1" customWidth="1"/>
    <col min="6" max="6" width="47.5703125" bestFit="1" customWidth="1"/>
  </cols>
  <sheetData>
    <row r="1" spans="1:5" x14ac:dyDescent="0.25">
      <c r="A1" s="130" t="s">
        <v>636</v>
      </c>
    </row>
    <row r="3" spans="1:5" x14ac:dyDescent="0.25">
      <c r="A3" s="23" t="s">
        <v>191</v>
      </c>
      <c r="B3" s="131" t="b">
        <v>0</v>
      </c>
    </row>
    <row r="7" spans="1:5" x14ac:dyDescent="0.25">
      <c r="A7" s="24"/>
      <c r="B7" s="23" t="s">
        <v>436</v>
      </c>
      <c r="C7" s="23" t="s">
        <v>435</v>
      </c>
    </row>
    <row r="8" spans="1:5" x14ac:dyDescent="0.25">
      <c r="A8" s="23" t="s">
        <v>626</v>
      </c>
      <c r="B8" s="137"/>
      <c r="C8" s="138"/>
    </row>
    <row r="9" spans="1:5" x14ac:dyDescent="0.25">
      <c r="A9" s="23" t="s">
        <v>625</v>
      </c>
      <c r="B9" s="131"/>
      <c r="C9" s="133"/>
    </row>
    <row r="10" spans="1:5" x14ac:dyDescent="0.25">
      <c r="A10" s="23" t="s">
        <v>624</v>
      </c>
      <c r="B10" s="137"/>
      <c r="C10" s="138"/>
    </row>
    <row r="14" spans="1:5" ht="30" x14ac:dyDescent="0.25">
      <c r="A14" s="79" t="s">
        <v>637</v>
      </c>
    </row>
    <row r="15" spans="1:5" x14ac:dyDescent="0.25">
      <c r="A15" s="23" t="s">
        <v>67</v>
      </c>
      <c r="B15" s="23" t="s">
        <v>68</v>
      </c>
      <c r="C15" s="132" t="s">
        <v>59</v>
      </c>
      <c r="D15" s="28" t="s">
        <v>438</v>
      </c>
      <c r="E15" s="28" t="s">
        <v>437</v>
      </c>
    </row>
    <row r="16" spans="1:5" x14ac:dyDescent="0.25">
      <c r="A16" s="54">
        <v>1</v>
      </c>
      <c r="B16" s="54" t="s">
        <v>385</v>
      </c>
      <c r="C16" s="24" t="s">
        <v>386</v>
      </c>
      <c r="D16" s="24"/>
    </row>
    <row r="17" spans="1:5" x14ac:dyDescent="0.25">
      <c r="A17" s="205">
        <v>2</v>
      </c>
      <c r="B17" s="205" t="s">
        <v>102</v>
      </c>
      <c r="C17" s="24" t="s">
        <v>69</v>
      </c>
      <c r="D17" s="24" t="str">
        <f>IF(OR(ISBLANK(ClientHTTPProdDNSOrIP),ISBLANK(ClientHTTPProdPortNumber)),"",CONCATENATE("DSV_",IF(ISBLANK(ClientHTTPProdLoginName),"",_xlfn.CONCAT(IF(IFERROR(FIND("@",ClientHTTPProdLoginName),0)&gt;0,REPLACE(ClientHTTPProdLoginName,FIND("@",ClientHTTPProdLoginName),1,"_at_"),ClientHTTPProdLoginName),"_")),ClientHTTPProdDNSOrIP,"_",ClientHTTPProdPortNumber,IF(OR(ISBLANK(ClientHTTPUseSSL),ClientHTTPUseSSL=FALSE),"_http","_SSL_http")))</f>
        <v/>
      </c>
      <c r="E17" s="24" t="str">
        <f>IF(OR(ISBLANK(ClientHTTPTestDNSOrIP),ISBLANK(ClientHTTPTestPortNumber)),"",_xlfn.CONCAT("DSV_",IF(ISBLANK(ClientHTTPTestLoginName),"",_xlfn.CONCAT(IF(IFERROR(FIND("@",ClientHTTPTestLoginName),0)&gt;0,REPLACE(ClientHTTPTestLoginName,FIND("@",ClientHTTPTestLoginName),1,"_at_"),ClientHTTPTestLoginName),"_")),ClientHTTPTestDNSOrIP,"_",ClientHTTPTestPortNumber,IF(OR(ISBLANK(ClientHTTPUseSSL),ClientHTTPUseSSL=FALSE),"_http","_SSL_http")))</f>
        <v/>
      </c>
    </row>
    <row r="18" spans="1:5" x14ac:dyDescent="0.25">
      <c r="A18" s="205"/>
      <c r="B18" s="205"/>
      <c r="C18" s="24" t="s">
        <v>70</v>
      </c>
      <c r="D18" s="24" t="str">
        <f>IF(OR(ISBLANK(ClientHTTPProdDNSOrIP),ISBLANK(ClientHTTPProdPortNumber)),"",CONCATENATE("DSV_",IF(ISBLANK(ClientHTTPProdLoginName),"",_xlfn.CONCAT(IF(IFERROR(FIND("@",ClientHTTPProdLoginName),0)&gt;0,REPLACE(ClientHTTPProdLoginName,FIND("@",ClientHTTPProdLoginName),1,"_at_"),ClientHTTPProdLoginName),"_")),ClientHTTPProdDNSOrIP,"_",ClientHTTPProdPortNumber,IF(OR(ISBLANK(ClientHTTPUseSSL),ClientHTTPUseSSL=FALSE),"_http","_SSL_http")))</f>
        <v/>
      </c>
      <c r="E18" s="24" t="str">
        <f>IF(OR(ISBLANK(ClientHTTPTestDNSOrIP),ISBLANK(ClientHTTPTestPortNumber)),"",_xlfn.CONCAT("DSV_",IF(ISBLANK(ClientHTTPTestLoginName),"",_xlfn.CONCAT(IF(IFERROR(FIND("@",ClientHTTPTestLoginName),0)&gt;0,REPLACE(ClientHTTPTestLoginName,FIND("@",ClientHTTPTestLoginName),1,"_at_"),ClientHTTPTestLoginName),"_")),ClientHTTPTestDNSOrIP,"_",ClientHTTPTestPortNumber,IF(OR(ISBLANK(ClientHTTPUseSSL),ClientHTTPUseSSL=FALSE),"_http","_SSL_http")))</f>
        <v/>
      </c>
    </row>
    <row r="19" spans="1:5" x14ac:dyDescent="0.25">
      <c r="A19" s="205"/>
      <c r="B19" s="205"/>
      <c r="C19" s="24" t="s">
        <v>71</v>
      </c>
      <c r="D19" s="24" t="str">
        <f>IF(OR(ISBLANK(ClientHTTPProdDNSOrIP),ISBLANK(ClientHTTPProdPortNumber)),"",IF(OR(ISBLANK(ClientHTTPUseSSL),ClientHTTPUseSSL=FALSE),"HTTP Server Profile for LW FW","HTTPS Server Profile for LW FW"))</f>
        <v/>
      </c>
    </row>
    <row r="20" spans="1:5" x14ac:dyDescent="0.25">
      <c r="A20" s="205"/>
      <c r="B20" s="205"/>
      <c r="C20" s="24" t="s">
        <v>72</v>
      </c>
      <c r="D20" s="43" t="str">
        <f>IF(OR(ISBLANK(ClientHTTPProdDNSOrIP),ISBLANK(ClientHTTPProdPortNumber)),"","&lt;Leave Empty&gt;")</f>
        <v/>
      </c>
    </row>
    <row r="21" spans="1:5" x14ac:dyDescent="0.25">
      <c r="A21" s="205"/>
      <c r="B21" s="205"/>
      <c r="C21" s="24" t="s">
        <v>73</v>
      </c>
      <c r="D21" s="24" t="str">
        <f>IF(OR(ISBLANK(ClientHTTPProdDNSOrIP),ISBLANK(ClientHTTPProdPortNumber)),"","N/A")</f>
        <v/>
      </c>
    </row>
    <row r="22" spans="1:5" x14ac:dyDescent="0.25">
      <c r="A22" s="205"/>
      <c r="B22" s="205"/>
      <c r="C22" s="24" t="s">
        <v>74</v>
      </c>
      <c r="D22" s="43" t="str">
        <f>IF(OR(ISBLANK(ClientHTTPProdDNSOrIP),ISBLANK(ClientHTTPProdPortNumber)),"","&lt;Leave Empty&gt;")</f>
        <v/>
      </c>
    </row>
    <row r="23" spans="1:5" x14ac:dyDescent="0.25">
      <c r="A23" s="205"/>
      <c r="B23" s="205"/>
      <c r="C23" s="24" t="s">
        <v>387</v>
      </c>
      <c r="D23" s="24" t="str">
        <f>IF(OR(ISBLANK(ClientHTTPProdDNSOrIP),ISBLANK(ClientHTTPProdPortNumber)),"","N/A")</f>
        <v/>
      </c>
    </row>
    <row r="24" spans="1:5" x14ac:dyDescent="0.25">
      <c r="A24" s="205"/>
      <c r="B24" s="205"/>
      <c r="C24" s="24" t="s">
        <v>388</v>
      </c>
      <c r="D24" s="43" t="str">
        <f>IF(OR(ISBLANK(ClientHTTPProdDNSOrIP),ISBLANK(ClientHTTPProdPortNumber)),"","&lt;Leave Empty&gt;")</f>
        <v/>
      </c>
    </row>
    <row r="25" spans="1:5" x14ac:dyDescent="0.25">
      <c r="A25" s="205"/>
      <c r="B25" s="205"/>
      <c r="C25" s="24" t="s">
        <v>75</v>
      </c>
      <c r="D25" s="43" t="str">
        <f>IF(OR(ISBLANK(ClientHTTPProdDNSOrIP),ISBLANK(ClientHTTPProdPortNumber)),"","&lt;Leave Empty&gt;")</f>
        <v/>
      </c>
    </row>
    <row r="26" spans="1:5" x14ac:dyDescent="0.25">
      <c r="A26" s="205"/>
      <c r="B26" s="205"/>
      <c r="C26" s="24" t="s">
        <v>76</v>
      </c>
      <c r="D26" s="43" t="str">
        <f>IF(OR(ISBLANK(ClientHTTPProdDNSOrIP),ISBLANK(ClientHTTPProdPortNumber)),"","&lt;Leave the default value&gt;")</f>
        <v/>
      </c>
    </row>
    <row r="27" spans="1:5" x14ac:dyDescent="0.25">
      <c r="A27" s="205"/>
      <c r="B27" s="205"/>
      <c r="C27" s="24" t="s">
        <v>389</v>
      </c>
      <c r="D27" s="43" t="str">
        <f>IF(OR(ISBLANK(ClientHTTPProdDNSOrIP),ISBLANK(ClientHTTPProdPortNumber)),"","&lt;Leave the default value&gt;")</f>
        <v/>
      </c>
    </row>
    <row r="28" spans="1:5" x14ac:dyDescent="0.25">
      <c r="A28" s="54">
        <v>3</v>
      </c>
      <c r="B28" s="54" t="s">
        <v>391</v>
      </c>
      <c r="C28" s="24" t="s">
        <v>391</v>
      </c>
      <c r="D28" s="24" t="str">
        <f>IF(OR(ISBLANK(ClientHTTPProdDNSOrIP),ISBLANK(ClientHTTPProdPortNumber),ISBLANK(ClientHTTPProdLoginName)),"","HTTP")</f>
        <v/>
      </c>
    </row>
    <row r="29" spans="1:5" x14ac:dyDescent="0.25">
      <c r="A29" s="205">
        <v>4</v>
      </c>
      <c r="B29" s="205" t="s">
        <v>396</v>
      </c>
      <c r="C29" s="24" t="s">
        <v>2</v>
      </c>
      <c r="D29" s="134" t="str">
        <f>IF(OR(ISBLANK(ClientHTTPProdDNSOrIP),ISBLANK(ClientHTTPProdPortNumber)),"","&lt;URL for posting files (including the port)&gt;")</f>
        <v/>
      </c>
      <c r="E29" s="135" t="str">
        <f>IF(OR(ISBLANK(ClientHTTPTestDNSOrIP),ISBLANK(ClientHTTPTestPortNumber)),"","&lt;URL for posting files (including the port)&gt;")</f>
        <v/>
      </c>
    </row>
    <row r="30" spans="1:5" x14ac:dyDescent="0.25">
      <c r="A30" s="205"/>
      <c r="B30" s="205"/>
      <c r="C30" s="24" t="s">
        <v>207</v>
      </c>
      <c r="D30" s="24" t="str">
        <f>IF(OR(ISBLANK(ClientHTTPProdDNSOrIP),ISBLANK(ClientHTTPProdPortNumber)),"","60")</f>
        <v/>
      </c>
    </row>
    <row r="34" spans="1:5" ht="30" x14ac:dyDescent="0.25">
      <c r="A34" s="79" t="s">
        <v>627</v>
      </c>
    </row>
    <row r="35" spans="1:5" x14ac:dyDescent="0.25">
      <c r="A35" s="35" t="s">
        <v>439</v>
      </c>
      <c r="B35" s="35" t="s">
        <v>440</v>
      </c>
    </row>
    <row r="36" spans="1:5" x14ac:dyDescent="0.25">
      <c r="A36" s="24" t="str">
        <f>IF(OR(ISBLANK(ClientHTTPProdDNSOrIP),ISBLANK(ClientHTTPProdPortNumber)),"",_xlfn.CONCAT("DSV_",IF(ISBLANK(ClientHTTPProdLoginName),"",_xlfn.CONCAT(IF(IFERROR(FIND("@",ClientHTTPProdLoginName),0)&gt;0,REPLACE(ClientHTTPProdLoginName,FIND("@",ClientHTTPProdLoginName),1,"_at_"),ClientHTTPProdLoginName),"_")),ClientHTTPProdDNSOrIP,"_",ClientHTTPProdPortNumber,IF(OR(ISBLANK(ClientHTTPUseSSL),ClientHTTPUseSSL=FALSE),"_pf","_SSL_pf")))</f>
        <v/>
      </c>
      <c r="B36" s="24" t="str">
        <f>IF(OR(ISBLANK(ClientHTTPTestDNSOrIP),ISBLANK(ClientHTTPTestPortNumber)),"",_xlfn.CONCAT("DSV_",IF(ISBLANK(ClientHTTPTestLoginName),"",_xlfn.CONCAT(IF(IFERROR(FIND("@",ClientHTTPTestLoginName),0)&gt;0,REPLACE(ClientHTTPTestLoginName,FIND("@",ClientHTTPTestLoginName),1,"_at_"),ClientHTTPTestLoginName),"_")),ClientHTTPTestDNSOrIP,"_",ClientHTTPTestPortNumber,IF(OR(ISBLANK(ClientHTTPUseSSL),ClientHTTPUseSSL=FALSE),"_pf","_SSL_pf")))</f>
        <v/>
      </c>
    </row>
    <row r="37" spans="1:5" x14ac:dyDescent="0.25">
      <c r="A37" s="69"/>
      <c r="B37" s="69"/>
    </row>
    <row r="39" spans="1:5" ht="15.75" thickBot="1" x14ac:dyDescent="0.3"/>
    <row r="40" spans="1:5" ht="16.5" thickTop="1" thickBot="1" x14ac:dyDescent="0.3">
      <c r="A40" s="206" t="s">
        <v>638</v>
      </c>
      <c r="B40" s="206"/>
      <c r="C40" s="206"/>
      <c r="D40" s="206"/>
      <c r="E40" s="206"/>
    </row>
    <row r="41" spans="1:5" ht="15.75" thickTop="1" x14ac:dyDescent="0.25"/>
    <row r="42" spans="1:5" x14ac:dyDescent="0.25">
      <c r="A42" s="23" t="s">
        <v>631</v>
      </c>
      <c r="B42" s="131"/>
    </row>
    <row r="43" spans="1:5" x14ac:dyDescent="0.25">
      <c r="A43" s="23" t="s">
        <v>630</v>
      </c>
      <c r="B43" s="131" t="b">
        <v>0</v>
      </c>
    </row>
    <row r="45" spans="1:5" ht="30" x14ac:dyDescent="0.25">
      <c r="A45" s="79" t="s">
        <v>628</v>
      </c>
    </row>
    <row r="46" spans="1:5" x14ac:dyDescent="0.25">
      <c r="A46" s="23" t="s">
        <v>67</v>
      </c>
      <c r="B46" s="23" t="s">
        <v>68</v>
      </c>
      <c r="C46" s="132" t="s">
        <v>59</v>
      </c>
      <c r="D46" s="28" t="s">
        <v>438</v>
      </c>
      <c r="E46" s="28" t="s">
        <v>437</v>
      </c>
    </row>
    <row r="47" spans="1:5" x14ac:dyDescent="0.25">
      <c r="A47" s="205">
        <v>5</v>
      </c>
      <c r="B47" s="205" t="s">
        <v>629</v>
      </c>
      <c r="C47" s="24" t="s">
        <v>211</v>
      </c>
      <c r="D47" s="24" t="str">
        <f>IF(OR(ISBLANK(ClientHTTPProdDNSOrIP),ISBLANK(ClientHTTPProdPortNumber),OR(ISBLANK(ClientHTTPClientCertAuthUsed),ClientHTTPClientCertAuthUsed=FALSE),OR(ISBLANK(ClientHTTPUseSSL),ClientHTTPUseSSL=FALSE)),"","Must")</f>
        <v/>
      </c>
    </row>
    <row r="48" spans="1:5" x14ac:dyDescent="0.25">
      <c r="A48" s="205"/>
      <c r="B48" s="205"/>
      <c r="C48" s="24" t="s">
        <v>213</v>
      </c>
      <c r="D48" s="43" t="str">
        <f>IF(OR(ISBLANK(ClientHTTPProdDNSOrIP),ISBLANK(ClientHTTPProdPortNumber),OR(ISBLANK(ClientHTTPClientCertAuthUsed),ClientHTTPClientCertAuthUsed=FALSE),OR(ISBLANK(ClientHTTPUseSSL),ClientHTTPUseSSL=FALSE)),"","&lt;Leave Empty&gt;")</f>
        <v/>
      </c>
    </row>
    <row r="49" spans="1:5" x14ac:dyDescent="0.25">
      <c r="A49" s="205"/>
      <c r="B49" s="205"/>
      <c r="C49" s="24" t="s">
        <v>214</v>
      </c>
      <c r="D49" s="24" t="str">
        <f>IF(OR(ISBLANK(ClientHTTPProdDNSOrIP),ISBLANK(ClientHTTPProdPortNumber),OR(ISBLANK(ClientHTTPClientCertAuthUsed),ClientHTTPClientCertAuthUsed=FALSE),OR(ISBLANK(ClientHTTPUseSSL),ClientHTTPUseSSL=FALSE)),"","ALL")</f>
        <v/>
      </c>
    </row>
    <row r="50" spans="1:5" x14ac:dyDescent="0.25">
      <c r="A50" s="205"/>
      <c r="B50" s="205"/>
      <c r="C50" s="24" t="s">
        <v>215</v>
      </c>
      <c r="D50" s="24" t="str">
        <f>IF(OR(ISBLANK(ClientHTTPProdDNSOrIP),ISBLANK(ClientHTTPProdPortNumber),OR(ISBLANK(ClientHTTPClientCertAuthUsed),ClientHTTPClientCertAuthUsed=FALSE),OR(ISBLANK(ClientHTTPUseSSL),ClientHTTPUseSSL=FALSE)),"","SSL_b2b.dsv.net_&lt;Expire Date yyyy.mm.dd&gt;_sdc")</f>
        <v/>
      </c>
      <c r="E50" s="24" t="str">
        <f>IF(OR(ISBLANK(ClientHTTPTestDNSOrIP),ISBLANK(ClientHTTPTestPortNumber),OR(ISBLANK(ClientHTTPClientCertAuthUsed),ClientHTTPClientCertAuthUsed=FALSE),OR(ISBLANK(ClientHTTPUseSSL),ClientHTTPUseSSL=FALSE)),"","SSL_test.b2b.dsv.net_&lt;Expire Date yyyy.mm.dd&gt;_sdc")</f>
        <v/>
      </c>
    </row>
    <row r="51" spans="1:5" x14ac:dyDescent="0.25">
      <c r="A51" s="205"/>
      <c r="B51" s="205"/>
      <c r="C51" s="24" t="s">
        <v>216</v>
      </c>
      <c r="D51" s="24" t="str">
        <f>IF(OR(ISBLANK(ClientHTTPProdDNSOrIP),ISBLANK(ClientHTTPProdPortNumber),OR(ISBLANK(ClientHTTPClientCertAuthUsed),ClientHTTPClientCertAuthUsed=FALSE),OR(ISBLANK(ClientHTTPUseSSL),ClientHTTPUseSSL=FALSE)),"",CONCATENATE("SSL_",ClientHTTPProdDNSOrIP,"_",IF(ISBLANK(ClientHTTPCACertDescription),"",CONCATENATE(ClientHTTPCACertDescription,"_")),"&lt;DateOfExpire&gt;_cdc"))</f>
        <v/>
      </c>
      <c r="E51" s="24" t="str">
        <f>IF(OR(ISBLANK(ClientHTTPTestDNSOrIP),ISBLANK(ClientHTTPTestPortNumber),OR(ISBLANK(ClientHTTPClientCertAuthUsed),ClientHTTPClientCertAuthUsed=FALSE),OR(ISBLANK(ClientHTTPUseSSL),ClientHTTPUseSSL=FALSE)),"",CONCATENATE("SSL_",ClientHTTPTestDNSOrIP,"_",IF(ISBLANK(ClientHTTPCACertDescription),"",CONCATENATE(ClientHTTPCACertDescription,"_")),"&lt;DateOfExpire&gt;_cdc"))</f>
        <v/>
      </c>
    </row>
    <row r="52" spans="1:5" ht="15.75" thickBot="1" x14ac:dyDescent="0.3">
      <c r="A52" s="49"/>
      <c r="B52" s="49"/>
    </row>
    <row r="53" spans="1:5" ht="16.5" thickTop="1" thickBot="1" x14ac:dyDescent="0.3">
      <c r="A53" s="136"/>
      <c r="B53" s="136"/>
      <c r="C53" s="136"/>
      <c r="D53" s="136"/>
      <c r="E53" s="136"/>
    </row>
    <row r="54" spans="1:5" ht="15.75" thickTop="1" x14ac:dyDescent="0.25"/>
    <row r="57" spans="1:5" ht="30" x14ac:dyDescent="0.25">
      <c r="A57" s="79" t="s">
        <v>634</v>
      </c>
    </row>
    <row r="59" spans="1:5" x14ac:dyDescent="0.25">
      <c r="A59" s="23" t="s">
        <v>635</v>
      </c>
      <c r="B59" s="131" t="b">
        <v>0</v>
      </c>
    </row>
    <row r="62" spans="1:5" x14ac:dyDescent="0.25">
      <c r="A62" s="23" t="s">
        <v>67</v>
      </c>
      <c r="B62" s="23" t="s">
        <v>68</v>
      </c>
      <c r="C62" s="132" t="s">
        <v>59</v>
      </c>
      <c r="D62" s="28" t="s">
        <v>438</v>
      </c>
      <c r="E62" s="28" t="s">
        <v>437</v>
      </c>
    </row>
    <row r="63" spans="1:5" x14ac:dyDescent="0.25">
      <c r="A63" s="205">
        <v>7</v>
      </c>
      <c r="B63" s="205" t="s">
        <v>632</v>
      </c>
      <c r="C63" s="24" t="s">
        <v>3</v>
      </c>
      <c r="D63" s="24" t="str">
        <f>IF(OR(ISBLANK(ClientHTTPProdDNSOrIP),ISBLANK(ClientHTTPProdPortNumber),ISBLANK(ClientHTTPProdLoginName),OR(ISBLANK(ClientHTTPLoginRequired),ClientHTTPLoginRequired=FALSE)),"",ClientHTTPProdLoginName)</f>
        <v/>
      </c>
      <c r="E63" s="24" t="str">
        <f>IF(OR(ISBLANK(ClientHTTPTestDNSOrIP),ISBLANK(ClientHTTPTestPortNumber),ISBLANK(ClientHTTPTestLoginName),OR(ISBLANK(ClientHTTPLoginRequired),ClientHTTPLoginRequired=FALSE)),"",ClientHTTPTestLoginName)</f>
        <v/>
      </c>
    </row>
    <row r="64" spans="1:5" x14ac:dyDescent="0.25">
      <c r="A64" s="205"/>
      <c r="B64" s="205"/>
      <c r="C64" s="24" t="s">
        <v>1</v>
      </c>
      <c r="D64" s="131" t="str">
        <f>IF(OR(ISBLANK(ClientHTTPProdDNSOrIP),ISBLANK(ClientHTTPProdPortNumber),ISBLANK(ClientHTTPProdLoginName),OR(ISBLANK(ClientHTTPLoginRequired),ClientHTTPLoginRequired=FALSE)),"","&lt;Enter password for production&gt;")</f>
        <v/>
      </c>
      <c r="E64" s="133" t="str">
        <f>IF(OR(ISBLANK(ClientHTTPTestDNSOrIP),ISBLANK(ClientHTTPTestPortNumber),ISBLANK(ClientHTTPTestLoginName),OR(ISBLANK(ClientHTTPLoginRequired),ClientHTTPLoginRequired=FALSE)),"","&lt;Enter password for test&gt;")</f>
        <v/>
      </c>
    </row>
    <row r="65" spans="1:5" x14ac:dyDescent="0.25">
      <c r="A65" s="205"/>
      <c r="B65" s="205"/>
      <c r="C65" s="24" t="s">
        <v>633</v>
      </c>
      <c r="D65" s="131" t="str">
        <f>IF(OR(ISBLANK(ClientHTTPProdDNSOrIP),ISBLANK(ClientHTTPProdPortNumber),ISBLANK(ClientHTTPProdLoginName),OR(ISBLANK(ClientHTTPLoginRequired),ClientHTTPLoginRequired=FALSE)),"","&lt;Enter password for production&gt;")</f>
        <v/>
      </c>
      <c r="E65" s="133" t="str">
        <f>IF(OR(ISBLANK(ClientHTTPTestDNSOrIP),ISBLANK(ClientHTTPTestPortNumber),ISBLANK(ClientHTTPTestLoginName),OR(ISBLANK(ClientHTTPLoginRequired),ClientHTTPLoginRequired=FALSE)),"","&lt;Enter password for test&gt;")</f>
        <v/>
      </c>
    </row>
  </sheetData>
  <mergeCells count="9">
    <mergeCell ref="A63:A65"/>
    <mergeCell ref="B63:B65"/>
    <mergeCell ref="A17:A27"/>
    <mergeCell ref="B17:B27"/>
    <mergeCell ref="A29:A30"/>
    <mergeCell ref="B29:B30"/>
    <mergeCell ref="A47:A51"/>
    <mergeCell ref="B47:B51"/>
    <mergeCell ref="A40:E40"/>
  </mergeCells>
  <dataValidations count="1">
    <dataValidation type="list" allowBlank="1" showInputMessage="1" showErrorMessage="1" error="Valid values are TRUE and FALSE." sqref="B43 B59 B3" xr:uid="{2737E7E2-057B-4F36-894E-2745559CF165}">
      <formula1>TrueOrFalse</formula1>
    </dataValidation>
  </dataValidations>
  <pageMargins left="0.7" right="0.7" top="0.75" bottom="0.75" header="0.3" footer="0.3"/>
  <pageSetup paperSize="9" orientation="portrait" r:id="rId1"/>
  <headerFooter>
    <oddFooter>&amp;C_x000D_&amp;1#&amp;"Calibri"&amp;10&amp;K000000 DSV internal</oddFooter>
  </headerFooter>
  <ignoredErrors>
    <ignoredError sqref="D21:D22 D23"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B7"/>
  <sheetViews>
    <sheetView workbookViewId="0">
      <selection activeCell="A2" sqref="A2"/>
    </sheetView>
  </sheetViews>
  <sheetFormatPr defaultRowHeight="15" x14ac:dyDescent="0.25"/>
  <cols>
    <col min="1" max="1" width="23.140625" customWidth="1"/>
    <col min="2" max="2" width="69" customWidth="1"/>
  </cols>
  <sheetData>
    <row r="1" spans="1:2" s="16" customFormat="1" x14ac:dyDescent="0.25">
      <c r="A1" s="23" t="s">
        <v>302</v>
      </c>
      <c r="B1" s="23" t="s">
        <v>175</v>
      </c>
    </row>
    <row r="2" spans="1:2" x14ac:dyDescent="0.25">
      <c r="A2" s="46"/>
      <c r="B2" s="24" t="str">
        <f>IF(AND(OR(NOT(ConfigureControlNumbers=FALSE),ISBLANK(ConfigureControlNumbers)),NOT(ISBLANK(PartnerDesignation))),IF(A2&lt;&gt;"",CONCATENATE("DSV_",UPPER(PartnerDesignation),"_",UPPER(A2),"_ctl"),CONCATENATE("DSV_",UPPER(PartnerDesignation),"_GLOBAL_ctl")),"You need to enter the partner code in the Master data worksheet!")</f>
        <v>You need to enter the partner code in the Master data worksheet!</v>
      </c>
    </row>
    <row r="3" spans="1:2" x14ac:dyDescent="0.25">
      <c r="A3" s="46"/>
      <c r="B3" s="24" t="str">
        <f>IF(A3&lt;&gt;"",IF(AND(OR(NOT(ConfigureControlNumbers=FALSE),ISBLANK(ConfigureControlNumbers)),NOT(ISBLANK(PartnerDesignation))),CONCATENATE("DSV_",UPPER(PartnerDesignation),"_",UPPER(A3),"_ctl"),"You need to enter the partner code in the Master data worksheet!"),"")</f>
        <v/>
      </c>
    </row>
    <row r="4" spans="1:2" x14ac:dyDescent="0.25">
      <c r="A4" s="46"/>
      <c r="B4" s="24" t="str">
        <f>IF(A4&lt;&gt;"",IF(AND(OR(NOT(ConfigureControlNumbers=FALSE),ISBLANK(ConfigureControlNumbers)),NOT(ISBLANK(PartnerDesignation))),CONCATENATE("DSV_",UPPER(PartnerDesignation),"_",UPPER(A4),"_ctl"),"You need to enter the partner code in the Master data worksheet!"),"")</f>
        <v/>
      </c>
    </row>
    <row r="5" spans="1:2" x14ac:dyDescent="0.25">
      <c r="A5" s="46"/>
      <c r="B5" s="24" t="str">
        <f>IF(A5&lt;&gt;"",IF(AND(OR(NOT(ConfigureControlNumbers=FALSE),ISBLANK(ConfigureControlNumbers)),NOT(ISBLANK(PartnerDesignation))),CONCATENATE("DSV_",UPPER(PartnerDesignation),"_",UPPER(A5),"_ctl"),"You need to enter the partner code in the Master data worksheet!"),"")</f>
        <v/>
      </c>
    </row>
    <row r="6" spans="1:2" x14ac:dyDescent="0.25">
      <c r="A6" s="46"/>
      <c r="B6" s="24" t="str">
        <f>IF(A6&lt;&gt;"",IF(AND(OR(NOT(ConfigureControlNumbers=FALSE),ISBLANK(ConfigureControlNumbers)),NOT(ISBLANK(PartnerDesignation))),CONCATENATE("DSV_",UPPER(PartnerDesignation),"_",UPPER(A6),"_ctl"),"You need to enter the partner code in the Master data worksheet!"),"")</f>
        <v/>
      </c>
    </row>
    <row r="7" spans="1:2" x14ac:dyDescent="0.25">
      <c r="A7" s="46"/>
      <c r="B7" s="24" t="str">
        <f>IF(A7&lt;&gt;"",IF(AND(OR(NOT(ConfigureControlNumbers=FALSE),ISBLANK(ConfigureControlNumbers)),NOT(ISBLANK(PartnerDesignation))),CONCATENATE("DSV_",UPPER(PartnerDesignation),"_",UPPER(A7),"_ctl"),"You need to enter the partner code in the Master data worksheet!"),"")</f>
        <v/>
      </c>
    </row>
  </sheetData>
  <pageMargins left="0.7" right="0.7" top="0.75" bottom="0.75" header="0.3" footer="0.3"/>
  <headerFooter>
    <oddFooter>&amp;C_x000D_&amp;1#&amp;"Calibri"&amp;10&amp;K000000 DSV internal</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dimension ref="A1:AA680"/>
  <sheetViews>
    <sheetView workbookViewId="0">
      <selection activeCell="E3" sqref="E3"/>
    </sheetView>
  </sheetViews>
  <sheetFormatPr defaultColWidth="9.140625" defaultRowHeight="15" x14ac:dyDescent="0.25"/>
  <cols>
    <col min="1" max="1" width="12.28515625" style="8" bestFit="1" customWidth="1"/>
    <col min="2" max="2" width="15.7109375" style="8" bestFit="1" customWidth="1"/>
    <col min="3" max="3" width="22" style="8" bestFit="1" customWidth="1"/>
    <col min="4" max="4" width="26.28515625" style="8" bestFit="1" customWidth="1"/>
    <col min="5" max="5" width="71.85546875" style="8" bestFit="1" customWidth="1"/>
    <col min="6" max="6" width="36.7109375" style="8" bestFit="1" customWidth="1"/>
    <col min="7" max="7" width="36.7109375" style="8" customWidth="1"/>
    <col min="8" max="8" width="13.42578125" style="8" bestFit="1" customWidth="1"/>
    <col min="9" max="9" width="71.7109375" style="8" customWidth="1"/>
    <col min="10" max="10" width="51.42578125" style="8" bestFit="1" customWidth="1"/>
    <col min="11" max="11" width="15.28515625" style="8" bestFit="1" customWidth="1"/>
    <col min="12" max="13" width="9.140625" style="8"/>
    <col min="14" max="14" width="22.28515625" style="8" customWidth="1"/>
    <col min="15" max="15" width="19.5703125" style="8" bestFit="1" customWidth="1"/>
    <col min="16" max="16" width="11" style="8" bestFit="1" customWidth="1"/>
    <col min="17" max="17" width="22.42578125" style="8" bestFit="1" customWidth="1"/>
    <col min="18" max="18" width="9.140625" style="8"/>
    <col min="19" max="19" width="17.28515625" style="8" bestFit="1" customWidth="1"/>
    <col min="20" max="20" width="33.42578125" style="8" bestFit="1" customWidth="1"/>
    <col min="21" max="21" width="23.140625" style="8" customWidth="1"/>
    <col min="22" max="22" width="71.85546875" style="8" bestFit="1" customWidth="1"/>
    <col min="23" max="23" width="36.5703125" style="8" bestFit="1" customWidth="1"/>
    <col min="24" max="24" width="104.5703125" style="8" customWidth="1"/>
    <col min="25" max="25" width="56.140625" style="8" bestFit="1" customWidth="1"/>
    <col min="26" max="26" width="81.140625" style="8" bestFit="1" customWidth="1"/>
    <col min="27" max="27" width="13.28515625" style="8" bestFit="1" customWidth="1"/>
    <col min="28" max="16384" width="9.140625" style="8"/>
  </cols>
  <sheetData>
    <row r="1" spans="1:27" ht="15.75" thickBot="1" x14ac:dyDescent="0.3">
      <c r="A1" s="1" t="s">
        <v>58</v>
      </c>
      <c r="B1" s="2" t="s">
        <v>5</v>
      </c>
      <c r="C1" s="3" t="s">
        <v>588</v>
      </c>
      <c r="D1" s="3" t="s">
        <v>589</v>
      </c>
      <c r="E1" s="4" t="s">
        <v>6</v>
      </c>
      <c r="F1" s="4" t="s">
        <v>7</v>
      </c>
      <c r="G1" s="4" t="s">
        <v>833</v>
      </c>
      <c r="H1" s="5" t="s">
        <v>8</v>
      </c>
      <c r="I1" s="6" t="s">
        <v>9</v>
      </c>
      <c r="J1" s="6" t="s">
        <v>10</v>
      </c>
      <c r="K1" s="7" t="s">
        <v>11</v>
      </c>
      <c r="L1" s="19" t="s">
        <v>64</v>
      </c>
      <c r="M1" s="20" t="s">
        <v>0</v>
      </c>
      <c r="N1" s="36" t="s">
        <v>127</v>
      </c>
      <c r="O1" s="51" t="s">
        <v>247</v>
      </c>
      <c r="P1" s="94" t="s">
        <v>367</v>
      </c>
      <c r="Q1" s="95" t="s">
        <v>360</v>
      </c>
      <c r="R1" s="153" t="s">
        <v>814</v>
      </c>
      <c r="S1" s="155" t="s">
        <v>824</v>
      </c>
      <c r="T1" s="168" t="s">
        <v>847</v>
      </c>
      <c r="U1" s="168" t="s">
        <v>848</v>
      </c>
      <c r="V1" s="110" t="s">
        <v>564</v>
      </c>
      <c r="X1" s="110" t="s">
        <v>654</v>
      </c>
      <c r="Y1" s="110" t="s">
        <v>1559</v>
      </c>
      <c r="AA1" s="2" t="s">
        <v>1833</v>
      </c>
    </row>
    <row r="2" spans="1:27" ht="360.75" thickBot="1" x14ac:dyDescent="0.3">
      <c r="A2" s="9" t="s">
        <v>12</v>
      </c>
      <c r="B2" s="10" t="s">
        <v>13</v>
      </c>
      <c r="C2" s="11" t="s">
        <v>14</v>
      </c>
      <c r="D2" s="11" t="s">
        <v>15</v>
      </c>
      <c r="E2" s="12" t="s">
        <v>832</v>
      </c>
      <c r="F2" s="12" t="s">
        <v>846</v>
      </c>
      <c r="G2" s="12" t="s">
        <v>846</v>
      </c>
      <c r="H2" s="13" t="s">
        <v>17</v>
      </c>
      <c r="I2" s="14" t="s">
        <v>651</v>
      </c>
      <c r="J2" s="14" t="s">
        <v>19</v>
      </c>
      <c r="K2" s="15" t="s">
        <v>20</v>
      </c>
      <c r="L2" s="17" t="s">
        <v>65</v>
      </c>
      <c r="M2" s="18" t="s">
        <v>87</v>
      </c>
      <c r="N2" s="37" t="s">
        <v>128</v>
      </c>
      <c r="O2" s="52" t="s">
        <v>18</v>
      </c>
      <c r="P2" s="78" t="s">
        <v>592</v>
      </c>
      <c r="Q2" s="96" t="s">
        <v>466</v>
      </c>
      <c r="R2" s="154" t="s">
        <v>815</v>
      </c>
      <c r="S2" s="155" t="s">
        <v>822</v>
      </c>
      <c r="T2" s="166" t="s">
        <v>1588</v>
      </c>
      <c r="U2" s="166" t="s">
        <v>1588</v>
      </c>
      <c r="V2" s="6" t="s">
        <v>737</v>
      </c>
      <c r="W2" s="6" t="s">
        <v>81</v>
      </c>
      <c r="X2" s="32" t="str">
        <f>CONCATENATE(X5,CHAR(10),X6,CHAR(10),X7,CHAR(10),X8,CHAR(10),X9,CHAR(10),X10,CHAR(10),X11,CHAR(10),X12,CHAR(10),X13,CHAR(10),X14,CHAR(10),X15,CHAR(10),X16,CHAR(10),X17,CHAR(10),X18,CHAR(10),X19,CHAR(10),X20,CHAR(10),X21,CHAR(10),X22,CHAR(10),X23,CHAR(10),X24,CHAR(10),X25,CHAR(10),X26,CHAR(10),X27,CHAR(10),X28)</f>
        <v>DSV_Intermediate_outlook.office365.com_CNNIC_2024.12.18_cdc
DSV_Intermediate_outlook.office365.com_DifiCert_2023.08.03_cdc
DSV_Intermediate_outlook.office365.com_Digicert_2030.08.04_cdc
DSV_Intermediate_outlook.office365.com_DigiCertHA_2028.10.22_cdc
DSV_Intermediate_outlook.office365.com_DTrust_2029.11.05_cdc
DSV_Intermediate_outlook.office365.com_Entrust_2021.11.12_cdc
DSV_Intermediate_outlook.office365.com_Entrust_L1_2030.12.05_cdc
DSV_Intermediate_outlook.office365.com_GlobalS2_2026.09.21_cdc
DSV_Intermediate_outlook.office365.com_GlobalSign_2022.08.02_cdc
DSV_Intermediate_outlook.office365.com_GlobalSign_2024.02.20_cdc
DSV_Intermediate_outlook.office365.com_GlobalSign_2025.09.04_cdc
DSV_Intermediate_outlook.office365.com_LetEncrypt_2021.03.17_cdc
DSV_Intermediate_outlook.office365.com_Microsoft_2024.05.20_cdc
DSV_Intermediate_outlook.office365.com_Microsoft2_2024.05.20_cdc
DSV_Intermediate_outlook.office365.com_Microsoft4_2024.05.20_cdc
DSV_Intermediate_outlook.office365.com_Microsoft5_2024.05.20_cdc
DSV_Intermediate_outlook.office365.com_SymantecG3_2023.10.31_cdc
DSV_Intermediate_outlook.office365.com_SymantecG4_2023.10.31_cdc
DSV_Intermediate_outlook.office365.com_Thwate_2023.05.23_cdc
DSV_Intermediate_outlook.office365.com_Verizon_2021.04.02_cdc
DSV_Intermediate_outlook.office365.com_WoSign_2024.08.08_cdc
DSV_Intermediate_outlook.office365.com_WoSign_2029.11.08_cdc
DSV_Intermediate_outlook.office365.com_WoSignCA_2024.08.08_cdc
DSV_Intermediate_outlook.office365.com_WoSignG2_2029.11.08_cdc</v>
      </c>
      <c r="Y2" s="27" t="s">
        <v>1548</v>
      </c>
      <c r="Z2" s="27" t="s">
        <v>1558</v>
      </c>
      <c r="AA2" s="10" t="s">
        <v>1835</v>
      </c>
    </row>
    <row r="3" spans="1:27" ht="15.75" thickBot="1" x14ac:dyDescent="0.3">
      <c r="A3" s="9" t="s">
        <v>21</v>
      </c>
      <c r="B3" s="10" t="s">
        <v>22</v>
      </c>
      <c r="C3" s="11" t="s">
        <v>23</v>
      </c>
      <c r="D3" s="11" t="s">
        <v>24</v>
      </c>
      <c r="E3" s="12" t="s">
        <v>25</v>
      </c>
      <c r="F3" s="12" t="s">
        <v>26</v>
      </c>
      <c r="G3" s="12" t="s">
        <v>54</v>
      </c>
      <c r="H3" s="13" t="s">
        <v>27</v>
      </c>
      <c r="I3" s="14" t="s">
        <v>34</v>
      </c>
      <c r="J3" s="14" t="s">
        <v>35</v>
      </c>
      <c r="K3" s="15" t="s">
        <v>29</v>
      </c>
      <c r="L3" s="17" t="s">
        <v>66</v>
      </c>
      <c r="M3" s="18" t="s">
        <v>88</v>
      </c>
      <c r="O3" s="52" t="s">
        <v>328</v>
      </c>
      <c r="P3" s="78" t="s">
        <v>162</v>
      </c>
      <c r="Q3" s="96" t="s">
        <v>467</v>
      </c>
      <c r="R3" s="154" t="s">
        <v>816</v>
      </c>
      <c r="S3" s="155" t="s">
        <v>823</v>
      </c>
      <c r="T3" s="166" t="s">
        <v>1589</v>
      </c>
      <c r="U3" s="166" t="s">
        <v>1589</v>
      </c>
      <c r="V3" s="111" t="s">
        <v>686</v>
      </c>
      <c r="W3" s="111" t="s">
        <v>687</v>
      </c>
      <c r="Y3" s="8" t="s">
        <v>1552</v>
      </c>
      <c r="Z3" s="8" t="s">
        <v>1554</v>
      </c>
      <c r="AA3" s="10" t="s">
        <v>1836</v>
      </c>
    </row>
    <row r="4" spans="1:27" ht="15.75" thickBot="1" x14ac:dyDescent="0.3">
      <c r="A4" s="9" t="s">
        <v>30</v>
      </c>
      <c r="C4" s="11" t="s">
        <v>31</v>
      </c>
      <c r="D4" s="11" t="s">
        <v>32</v>
      </c>
      <c r="E4" s="12" t="s">
        <v>43</v>
      </c>
      <c r="F4" s="12" t="s">
        <v>44</v>
      </c>
      <c r="G4" s="12" t="s">
        <v>834</v>
      </c>
      <c r="H4" s="13" t="s">
        <v>33</v>
      </c>
      <c r="I4" s="14" t="s">
        <v>39</v>
      </c>
      <c r="J4" s="14" t="s">
        <v>40</v>
      </c>
      <c r="O4" s="52" t="s">
        <v>28</v>
      </c>
      <c r="Q4" s="96" t="s">
        <v>468</v>
      </c>
      <c r="T4" s="166" t="s">
        <v>1590</v>
      </c>
      <c r="U4" s="166" t="s">
        <v>1590</v>
      </c>
      <c r="V4" s="111" t="s">
        <v>690</v>
      </c>
      <c r="W4" s="111" t="s">
        <v>691</v>
      </c>
      <c r="X4" s="110" t="s">
        <v>1525</v>
      </c>
      <c r="Y4" s="8" t="s">
        <v>1551</v>
      </c>
      <c r="Z4" s="8" t="s">
        <v>1555</v>
      </c>
    </row>
    <row r="5" spans="1:27" ht="15.75" thickBot="1" x14ac:dyDescent="0.3">
      <c r="C5" s="11" t="s">
        <v>36</v>
      </c>
      <c r="D5" s="11" t="s">
        <v>37</v>
      </c>
      <c r="E5" s="12" t="s">
        <v>49</v>
      </c>
      <c r="F5" s="12" t="s">
        <v>50</v>
      </c>
      <c r="G5" s="12" t="s">
        <v>841</v>
      </c>
      <c r="H5" s="13" t="s">
        <v>38</v>
      </c>
      <c r="I5" s="14" t="s">
        <v>45</v>
      </c>
      <c r="J5" s="14" t="s">
        <v>46</v>
      </c>
      <c r="L5" s="19" t="s">
        <v>157</v>
      </c>
      <c r="O5" s="52" t="s">
        <v>221</v>
      </c>
      <c r="Q5" s="96" t="s">
        <v>469</v>
      </c>
      <c r="T5" s="166" t="s">
        <v>1591</v>
      </c>
      <c r="U5" s="166" t="s">
        <v>1591</v>
      </c>
      <c r="V5" s="111" t="s">
        <v>688</v>
      </c>
      <c r="W5" s="111" t="s">
        <v>689</v>
      </c>
      <c r="X5" s="111" t="s">
        <v>655</v>
      </c>
      <c r="Y5" s="8" t="s">
        <v>1549</v>
      </c>
      <c r="Z5" s="8" t="s">
        <v>1556</v>
      </c>
    </row>
    <row r="6" spans="1:27" ht="15.75" thickBot="1" x14ac:dyDescent="0.3">
      <c r="C6" s="11" t="s">
        <v>41</v>
      </c>
      <c r="D6" s="11" t="s">
        <v>42</v>
      </c>
      <c r="E6" s="12" t="s">
        <v>51</v>
      </c>
      <c r="F6" s="12" t="s">
        <v>52</v>
      </c>
      <c r="G6" s="12" t="s">
        <v>842</v>
      </c>
      <c r="I6" s="14" t="s">
        <v>53</v>
      </c>
      <c r="J6" s="14" t="s">
        <v>54</v>
      </c>
      <c r="L6" s="17" t="b">
        <v>1</v>
      </c>
      <c r="Q6" s="96" t="s">
        <v>470</v>
      </c>
      <c r="T6" s="166" t="s">
        <v>1592</v>
      </c>
      <c r="U6" s="166" t="s">
        <v>1592</v>
      </c>
      <c r="V6" s="111" t="s">
        <v>692</v>
      </c>
      <c r="W6" s="111" t="s">
        <v>693</v>
      </c>
      <c r="X6" s="111" t="s">
        <v>656</v>
      </c>
      <c r="Y6" s="8" t="s">
        <v>1550</v>
      </c>
      <c r="Z6" s="8" t="s">
        <v>1557</v>
      </c>
    </row>
    <row r="7" spans="1:27" ht="15.75" thickBot="1" x14ac:dyDescent="0.3">
      <c r="C7" s="11" t="s">
        <v>47</v>
      </c>
      <c r="D7" s="11" t="s">
        <v>48</v>
      </c>
      <c r="E7" s="12" t="s">
        <v>567</v>
      </c>
      <c r="F7" s="12" t="s">
        <v>55</v>
      </c>
      <c r="G7" s="12" t="s">
        <v>835</v>
      </c>
      <c r="I7" s="14" t="s">
        <v>1173</v>
      </c>
      <c r="J7" s="14" t="s">
        <v>837</v>
      </c>
      <c r="L7" s="17" t="b">
        <v>0</v>
      </c>
      <c r="Q7" s="96" t="s">
        <v>471</v>
      </c>
      <c r="T7" s="166" t="s">
        <v>1087</v>
      </c>
      <c r="U7" s="167" t="s">
        <v>1087</v>
      </c>
      <c r="V7" s="111" t="s">
        <v>694</v>
      </c>
      <c r="W7" s="111" t="s">
        <v>695</v>
      </c>
      <c r="X7" s="111" t="s">
        <v>657</v>
      </c>
    </row>
    <row r="8" spans="1:27" ht="15.75" thickBot="1" x14ac:dyDescent="0.3">
      <c r="C8" s="11" t="s">
        <v>56</v>
      </c>
      <c r="D8" s="11" t="s">
        <v>57</v>
      </c>
      <c r="E8" s="12" t="s">
        <v>681</v>
      </c>
      <c r="F8" s="12" t="s">
        <v>682</v>
      </c>
      <c r="G8" s="12" t="s">
        <v>836</v>
      </c>
      <c r="I8" s="14" t="s">
        <v>1462</v>
      </c>
      <c r="J8" s="14" t="s">
        <v>1463</v>
      </c>
      <c r="Q8" s="96" t="s">
        <v>472</v>
      </c>
      <c r="T8" s="166" t="s">
        <v>878</v>
      </c>
      <c r="U8" s="167" t="s">
        <v>878</v>
      </c>
      <c r="V8" s="111" t="s">
        <v>696</v>
      </c>
      <c r="W8" s="111" t="s">
        <v>697</v>
      </c>
      <c r="X8" s="111" t="s">
        <v>658</v>
      </c>
    </row>
    <row r="9" spans="1:27" ht="15.75" thickBot="1" x14ac:dyDescent="0.3">
      <c r="C9" s="11" t="s">
        <v>591</v>
      </c>
      <c r="D9" s="11" t="s">
        <v>610</v>
      </c>
      <c r="E9" s="12" t="s">
        <v>612</v>
      </c>
      <c r="F9" s="12" t="s">
        <v>613</v>
      </c>
      <c r="G9" s="12" t="s">
        <v>40</v>
      </c>
      <c r="I9" s="14" t="s">
        <v>1504</v>
      </c>
      <c r="J9" s="14" t="s">
        <v>1505</v>
      </c>
      <c r="Q9" s="96" t="s">
        <v>473</v>
      </c>
      <c r="T9" s="166" t="s">
        <v>887</v>
      </c>
      <c r="U9" s="167" t="s">
        <v>887</v>
      </c>
      <c r="V9" s="111" t="s">
        <v>698</v>
      </c>
      <c r="W9" s="111" t="s">
        <v>699</v>
      </c>
      <c r="X9" s="111" t="s">
        <v>659</v>
      </c>
    </row>
    <row r="10" spans="1:27" ht="15.75" thickBot="1" x14ac:dyDescent="0.3">
      <c r="C10" s="11" t="s">
        <v>590</v>
      </c>
      <c r="D10" s="11" t="s">
        <v>611</v>
      </c>
      <c r="E10" s="12" t="s">
        <v>621</v>
      </c>
      <c r="F10" s="12" t="s">
        <v>622</v>
      </c>
      <c r="G10" s="12" t="s">
        <v>843</v>
      </c>
      <c r="I10" s="14" t="s">
        <v>1506</v>
      </c>
      <c r="J10" s="14" t="s">
        <v>840</v>
      </c>
      <c r="Q10" s="96" t="s">
        <v>474</v>
      </c>
      <c r="T10" s="166" t="s">
        <v>965</v>
      </c>
      <c r="U10" s="167" t="s">
        <v>965</v>
      </c>
      <c r="V10" s="111" t="s">
        <v>700</v>
      </c>
      <c r="W10" s="111" t="s">
        <v>701</v>
      </c>
      <c r="X10" s="111" t="s">
        <v>660</v>
      </c>
    </row>
    <row r="11" spans="1:27" ht="15.75" thickBot="1" x14ac:dyDescent="0.3">
      <c r="C11" s="11" t="s">
        <v>617</v>
      </c>
      <c r="D11" s="11" t="s">
        <v>618</v>
      </c>
      <c r="E11" s="12" t="s">
        <v>738</v>
      </c>
      <c r="F11" s="12" t="s">
        <v>685</v>
      </c>
      <c r="G11" s="12" t="s">
        <v>844</v>
      </c>
      <c r="I11" s="14" t="s">
        <v>28</v>
      </c>
      <c r="J11" s="14" t="s">
        <v>844</v>
      </c>
      <c r="Q11" s="96" t="s">
        <v>475</v>
      </c>
      <c r="T11" s="166" t="s">
        <v>888</v>
      </c>
      <c r="U11" s="167" t="s">
        <v>888</v>
      </c>
      <c r="V11" s="111" t="s">
        <v>702</v>
      </c>
      <c r="W11" s="111" t="s">
        <v>703</v>
      </c>
      <c r="X11" s="111" t="s">
        <v>661</v>
      </c>
    </row>
    <row r="12" spans="1:27" ht="15.75" thickBot="1" x14ac:dyDescent="0.3">
      <c r="E12" s="12" t="s">
        <v>751</v>
      </c>
      <c r="F12" s="12" t="s">
        <v>752</v>
      </c>
      <c r="G12" s="12" t="s">
        <v>46</v>
      </c>
      <c r="Q12" s="96" t="s">
        <v>476</v>
      </c>
      <c r="T12" s="166" t="s">
        <v>966</v>
      </c>
      <c r="U12" s="167" t="s">
        <v>966</v>
      </c>
      <c r="V12" s="111" t="s">
        <v>704</v>
      </c>
      <c r="W12" s="111" t="s">
        <v>705</v>
      </c>
      <c r="X12" s="111" t="s">
        <v>662</v>
      </c>
    </row>
    <row r="13" spans="1:27" ht="15.75" thickBot="1" x14ac:dyDescent="0.3">
      <c r="E13" s="12" t="s">
        <v>753</v>
      </c>
      <c r="F13" s="12" t="s">
        <v>754</v>
      </c>
      <c r="G13" s="12" t="s">
        <v>845</v>
      </c>
      <c r="I13" s="110" t="s">
        <v>564</v>
      </c>
      <c r="J13" s="14"/>
      <c r="Q13" s="96" t="s">
        <v>477</v>
      </c>
      <c r="T13" s="166" t="s">
        <v>967</v>
      </c>
      <c r="U13" s="167" t="s">
        <v>967</v>
      </c>
      <c r="V13" s="111" t="s">
        <v>706</v>
      </c>
      <c r="W13" s="111" t="s">
        <v>707</v>
      </c>
      <c r="X13" s="111" t="s">
        <v>663</v>
      </c>
    </row>
    <row r="14" spans="1:27" ht="15.75" thickBot="1" x14ac:dyDescent="0.3">
      <c r="E14" s="12" t="s">
        <v>1819</v>
      </c>
      <c r="F14" s="12" t="s">
        <v>756</v>
      </c>
      <c r="G14" s="12" t="s">
        <v>837</v>
      </c>
      <c r="I14" s="6" t="s">
        <v>154</v>
      </c>
      <c r="J14" s="6" t="s">
        <v>81</v>
      </c>
      <c r="Q14" s="96" t="s">
        <v>761</v>
      </c>
      <c r="T14" s="166" t="s">
        <v>968</v>
      </c>
      <c r="U14" s="167" t="s">
        <v>968</v>
      </c>
      <c r="V14" s="111" t="s">
        <v>708</v>
      </c>
      <c r="W14" s="111" t="s">
        <v>709</v>
      </c>
      <c r="X14" s="111" t="s">
        <v>664</v>
      </c>
    </row>
    <row r="15" spans="1:27" ht="15.75" thickBot="1" x14ac:dyDescent="0.3">
      <c r="E15" s="12" t="s">
        <v>788</v>
      </c>
      <c r="F15" s="12" t="s">
        <v>786</v>
      </c>
      <c r="G15" s="12" t="s">
        <v>838</v>
      </c>
      <c r="I15" s="111" t="s">
        <v>1507</v>
      </c>
      <c r="J15" s="14" t="s">
        <v>1527</v>
      </c>
      <c r="Q15" s="96" t="s">
        <v>762</v>
      </c>
      <c r="T15" s="166" t="s">
        <v>969</v>
      </c>
      <c r="U15" s="167" t="s">
        <v>969</v>
      </c>
      <c r="V15" s="111" t="s">
        <v>710</v>
      </c>
      <c r="W15" s="111" t="s">
        <v>711</v>
      </c>
      <c r="X15" s="111" t="s">
        <v>665</v>
      </c>
    </row>
    <row r="16" spans="1:27" ht="15.75" thickBot="1" x14ac:dyDescent="0.3">
      <c r="E16" s="12" t="s">
        <v>789</v>
      </c>
      <c r="F16" s="12" t="s">
        <v>787</v>
      </c>
      <c r="G16" s="12" t="s">
        <v>839</v>
      </c>
      <c r="I16" s="111" t="s">
        <v>1508</v>
      </c>
      <c r="J16" s="111" t="s">
        <v>1528</v>
      </c>
      <c r="Q16" s="96" t="s">
        <v>763</v>
      </c>
      <c r="T16" s="166" t="s">
        <v>970</v>
      </c>
      <c r="U16" s="167" t="s">
        <v>970</v>
      </c>
      <c r="V16" s="111" t="s">
        <v>712</v>
      </c>
      <c r="W16" s="111" t="s">
        <v>713</v>
      </c>
      <c r="X16" s="111" t="s">
        <v>666</v>
      </c>
    </row>
    <row r="17" spans="5:24" ht="15.75" thickBot="1" x14ac:dyDescent="0.3">
      <c r="E17" s="12" t="s">
        <v>830</v>
      </c>
      <c r="F17" s="12" t="s">
        <v>831</v>
      </c>
      <c r="G17" s="12" t="s">
        <v>840</v>
      </c>
      <c r="I17" s="111" t="s">
        <v>1509</v>
      </c>
      <c r="J17" s="111" t="s">
        <v>1529</v>
      </c>
      <c r="Q17" s="96" t="s">
        <v>764</v>
      </c>
      <c r="T17" s="166" t="s">
        <v>889</v>
      </c>
      <c r="U17" s="167" t="s">
        <v>889</v>
      </c>
      <c r="V17" s="111" t="s">
        <v>714</v>
      </c>
      <c r="W17" s="111" t="s">
        <v>715</v>
      </c>
      <c r="X17" s="111" t="s">
        <v>667</v>
      </c>
    </row>
    <row r="18" spans="5:24" ht="15.75" thickBot="1" x14ac:dyDescent="0.3">
      <c r="E18" s="12" t="s">
        <v>568</v>
      </c>
      <c r="F18" s="12" t="s">
        <v>16</v>
      </c>
      <c r="G18" s="12" t="s">
        <v>19</v>
      </c>
      <c r="I18" s="111" t="s">
        <v>1510</v>
      </c>
      <c r="J18" s="111" t="s">
        <v>1530</v>
      </c>
      <c r="Q18" s="96" t="s">
        <v>765</v>
      </c>
      <c r="T18" s="166" t="s">
        <v>971</v>
      </c>
      <c r="U18" s="167" t="s">
        <v>971</v>
      </c>
      <c r="V18" s="111" t="s">
        <v>716</v>
      </c>
      <c r="W18" s="111" t="s">
        <v>717</v>
      </c>
      <c r="X18" s="111" t="s">
        <v>668</v>
      </c>
    </row>
    <row r="19" spans="5:24" ht="15.75" thickBot="1" x14ac:dyDescent="0.3">
      <c r="E19" s="12" t="s">
        <v>1827</v>
      </c>
      <c r="F19" s="12" t="s">
        <v>1828</v>
      </c>
      <c r="G19" s="12" t="s">
        <v>1829</v>
      </c>
      <c r="I19" s="111" t="s">
        <v>1511</v>
      </c>
      <c r="J19" s="111" t="s">
        <v>1531</v>
      </c>
      <c r="Q19" s="96" t="s">
        <v>766</v>
      </c>
      <c r="T19" s="161" t="s">
        <v>972</v>
      </c>
      <c r="U19" s="162" t="s">
        <v>972</v>
      </c>
      <c r="V19" s="111" t="s">
        <v>718</v>
      </c>
      <c r="W19" s="111" t="s">
        <v>719</v>
      </c>
      <c r="X19" s="111" t="s">
        <v>669</v>
      </c>
    </row>
    <row r="20" spans="5:24" ht="15.75" thickBot="1" x14ac:dyDescent="0.3">
      <c r="E20" s="12" t="s">
        <v>1830</v>
      </c>
      <c r="F20" s="12" t="s">
        <v>1831</v>
      </c>
      <c r="G20" s="12" t="s">
        <v>165</v>
      </c>
      <c r="I20" s="111" t="s">
        <v>1512</v>
      </c>
      <c r="J20" s="111" t="s">
        <v>1532</v>
      </c>
      <c r="Q20" s="96" t="s">
        <v>767</v>
      </c>
      <c r="T20" s="161" t="s">
        <v>973</v>
      </c>
      <c r="U20" s="162" t="s">
        <v>973</v>
      </c>
      <c r="V20" s="111" t="s">
        <v>720</v>
      </c>
      <c r="W20" s="111" t="s">
        <v>721</v>
      </c>
      <c r="X20" s="111" t="s">
        <v>670</v>
      </c>
    </row>
    <row r="21" spans="5:24" ht="15.75" thickBot="1" x14ac:dyDescent="0.3">
      <c r="E21" s="12" t="s">
        <v>1841</v>
      </c>
      <c r="F21" s="12" t="s">
        <v>1842</v>
      </c>
      <c r="G21" s="12" t="s">
        <v>1463</v>
      </c>
      <c r="I21" s="111" t="s">
        <v>1513</v>
      </c>
      <c r="J21" s="111" t="s">
        <v>1533</v>
      </c>
      <c r="Q21" s="96" t="s">
        <v>768</v>
      </c>
      <c r="T21" s="161" t="s">
        <v>974</v>
      </c>
      <c r="U21" s="162" t="s">
        <v>974</v>
      </c>
      <c r="V21" s="111" t="s">
        <v>722</v>
      </c>
      <c r="W21" s="111" t="s">
        <v>723</v>
      </c>
      <c r="X21" s="111" t="s">
        <v>671</v>
      </c>
    </row>
    <row r="22" spans="5:24" ht="15.75" thickBot="1" x14ac:dyDescent="0.3">
      <c r="I22" s="111" t="s">
        <v>1514</v>
      </c>
      <c r="J22" s="111" t="s">
        <v>1534</v>
      </c>
      <c r="Q22" s="96" t="s">
        <v>478</v>
      </c>
      <c r="T22" s="161" t="s">
        <v>975</v>
      </c>
      <c r="U22" s="162" t="s">
        <v>975</v>
      </c>
      <c r="V22" s="111" t="s">
        <v>724</v>
      </c>
      <c r="W22" s="111" t="s">
        <v>725</v>
      </c>
      <c r="X22" s="111" t="s">
        <v>672</v>
      </c>
    </row>
    <row r="23" spans="5:24" ht="15.75" thickBot="1" x14ac:dyDescent="0.3">
      <c r="I23" s="111" t="s">
        <v>1515</v>
      </c>
      <c r="J23" s="111" t="s">
        <v>1535</v>
      </c>
      <c r="Q23" s="96" t="s">
        <v>479</v>
      </c>
      <c r="T23" s="161" t="s">
        <v>976</v>
      </c>
      <c r="U23" s="162" t="s">
        <v>976</v>
      </c>
      <c r="V23" s="111" t="s">
        <v>726</v>
      </c>
      <c r="W23" s="111" t="s">
        <v>727</v>
      </c>
      <c r="X23" s="111" t="s">
        <v>673</v>
      </c>
    </row>
    <row r="24" spans="5:24" ht="15.75" thickBot="1" x14ac:dyDescent="0.3">
      <c r="I24" s="111" t="s">
        <v>153</v>
      </c>
      <c r="J24" s="111" t="s">
        <v>546</v>
      </c>
      <c r="Q24" s="96" t="s">
        <v>480</v>
      </c>
      <c r="T24" s="161" t="s">
        <v>977</v>
      </c>
      <c r="U24" s="162" t="s">
        <v>977</v>
      </c>
      <c r="V24" s="111" t="s">
        <v>730</v>
      </c>
      <c r="W24" s="111" t="s">
        <v>695</v>
      </c>
      <c r="X24" s="111" t="s">
        <v>674</v>
      </c>
    </row>
    <row r="25" spans="5:24" ht="15.75" thickBot="1" x14ac:dyDescent="0.3">
      <c r="I25" s="111" t="s">
        <v>148</v>
      </c>
      <c r="J25" s="111" t="s">
        <v>547</v>
      </c>
      <c r="Q25" s="96" t="s">
        <v>481</v>
      </c>
      <c r="T25" s="161" t="s">
        <v>978</v>
      </c>
      <c r="U25" s="162" t="s">
        <v>978</v>
      </c>
      <c r="V25" s="111" t="s">
        <v>731</v>
      </c>
      <c r="W25" s="111" t="s">
        <v>697</v>
      </c>
      <c r="X25" s="111" t="s">
        <v>675</v>
      </c>
    </row>
    <row r="26" spans="5:24" ht="15.75" thickBot="1" x14ac:dyDescent="0.3">
      <c r="E26" s="110" t="s">
        <v>564</v>
      </c>
      <c r="I26" s="111" t="s">
        <v>133</v>
      </c>
      <c r="J26" s="111" t="s">
        <v>647</v>
      </c>
      <c r="Q26" s="96" t="s">
        <v>769</v>
      </c>
      <c r="T26" s="161" t="s">
        <v>890</v>
      </c>
      <c r="U26" s="162" t="s">
        <v>890</v>
      </c>
      <c r="V26" s="111" t="s">
        <v>733</v>
      </c>
      <c r="W26" s="111" t="s">
        <v>703</v>
      </c>
      <c r="X26" s="111" t="s">
        <v>676</v>
      </c>
    </row>
    <row r="27" spans="5:24" ht="15.75" thickBot="1" x14ac:dyDescent="0.3">
      <c r="E27" s="6" t="s">
        <v>7</v>
      </c>
      <c r="F27" s="6" t="s">
        <v>6</v>
      </c>
      <c r="G27" s="6"/>
      <c r="I27" s="111" t="s">
        <v>1440</v>
      </c>
      <c r="J27" s="111" t="s">
        <v>1441</v>
      </c>
      <c r="Q27" s="96" t="s">
        <v>482</v>
      </c>
      <c r="T27" s="161" t="s">
        <v>891</v>
      </c>
      <c r="U27" s="162" t="s">
        <v>891</v>
      </c>
      <c r="V27" s="111" t="s">
        <v>732</v>
      </c>
      <c r="W27" s="111" t="s">
        <v>705</v>
      </c>
      <c r="X27" s="111" t="s">
        <v>677</v>
      </c>
    </row>
    <row r="28" spans="5:24" ht="15.75" thickBot="1" x14ac:dyDescent="0.3">
      <c r="E28" s="111" t="s">
        <v>752</v>
      </c>
      <c r="F28" s="111" t="s">
        <v>751</v>
      </c>
      <c r="G28" s="111"/>
      <c r="I28" s="111" t="s">
        <v>143</v>
      </c>
      <c r="J28" s="111" t="s">
        <v>548</v>
      </c>
      <c r="Q28" s="96" t="s">
        <v>770</v>
      </c>
      <c r="T28" s="161" t="s">
        <v>892</v>
      </c>
      <c r="U28" s="162" t="s">
        <v>892</v>
      </c>
      <c r="V28" s="111" t="s">
        <v>734</v>
      </c>
      <c r="W28" s="111" t="s">
        <v>707</v>
      </c>
      <c r="X28" s="111" t="s">
        <v>678</v>
      </c>
    </row>
    <row r="29" spans="5:24" ht="15.75" thickBot="1" x14ac:dyDescent="0.3">
      <c r="E29" s="111" t="s">
        <v>26</v>
      </c>
      <c r="F29" s="111" t="s">
        <v>25</v>
      </c>
      <c r="G29" s="111"/>
      <c r="I29" s="111" t="s">
        <v>1477</v>
      </c>
      <c r="J29" s="111" t="s">
        <v>1478</v>
      </c>
      <c r="Q29" s="96" t="s">
        <v>483</v>
      </c>
      <c r="T29" s="161" t="s">
        <v>893</v>
      </c>
      <c r="U29" s="162" t="s">
        <v>893</v>
      </c>
      <c r="V29" s="111" t="s">
        <v>735</v>
      </c>
      <c r="W29" s="111" t="s">
        <v>709</v>
      </c>
    </row>
    <row r="30" spans="5:24" ht="15.75" thickBot="1" x14ac:dyDescent="0.3">
      <c r="E30" s="111" t="s">
        <v>613</v>
      </c>
      <c r="F30" s="111" t="s">
        <v>612</v>
      </c>
      <c r="G30" s="111"/>
      <c r="I30" s="111" t="s">
        <v>138</v>
      </c>
      <c r="J30" s="111" t="s">
        <v>549</v>
      </c>
      <c r="Q30" s="96" t="s">
        <v>484</v>
      </c>
      <c r="T30" s="161" t="s">
        <v>894</v>
      </c>
      <c r="U30" s="162" t="s">
        <v>894</v>
      </c>
      <c r="V30" s="111" t="s">
        <v>736</v>
      </c>
      <c r="W30" s="111" t="s">
        <v>711</v>
      </c>
    </row>
    <row r="31" spans="5:24" ht="15.75" thickBot="1" x14ac:dyDescent="0.3">
      <c r="E31" s="111" t="s">
        <v>685</v>
      </c>
      <c r="F31" s="111" t="s">
        <v>738</v>
      </c>
      <c r="G31" s="111"/>
      <c r="I31" s="111" t="s">
        <v>152</v>
      </c>
      <c r="J31" s="111" t="s">
        <v>550</v>
      </c>
      <c r="Q31" s="96" t="s">
        <v>485</v>
      </c>
      <c r="T31" s="161" t="s">
        <v>895</v>
      </c>
      <c r="U31" s="162" t="s">
        <v>895</v>
      </c>
      <c r="V31" s="111" t="s">
        <v>728</v>
      </c>
      <c r="W31" s="111" t="s">
        <v>729</v>
      </c>
    </row>
    <row r="32" spans="5:24" ht="15.75" thickBot="1" x14ac:dyDescent="0.3">
      <c r="E32" s="111" t="s">
        <v>622</v>
      </c>
      <c r="F32" s="111" t="s">
        <v>621</v>
      </c>
      <c r="G32" s="111"/>
      <c r="I32" s="111" t="s">
        <v>147</v>
      </c>
      <c r="J32" s="111" t="s">
        <v>551</v>
      </c>
      <c r="Q32" s="96" t="s">
        <v>486</v>
      </c>
      <c r="T32" s="161" t="s">
        <v>896</v>
      </c>
      <c r="U32" s="162" t="s">
        <v>896</v>
      </c>
    </row>
    <row r="33" spans="5:21" ht="15.75" thickBot="1" x14ac:dyDescent="0.3">
      <c r="E33" s="111" t="s">
        <v>16</v>
      </c>
      <c r="F33" s="111" t="s">
        <v>568</v>
      </c>
      <c r="G33" s="111"/>
      <c r="I33" s="111" t="s">
        <v>132</v>
      </c>
      <c r="J33" s="111" t="s">
        <v>648</v>
      </c>
      <c r="Q33" s="96" t="s">
        <v>771</v>
      </c>
      <c r="T33" s="161" t="s">
        <v>1088</v>
      </c>
      <c r="U33" s="162" t="s">
        <v>1088</v>
      </c>
    </row>
    <row r="34" spans="5:21" ht="15.75" thickBot="1" x14ac:dyDescent="0.3">
      <c r="E34" s="111" t="s">
        <v>52</v>
      </c>
      <c r="F34" s="111" t="s">
        <v>51</v>
      </c>
      <c r="G34" s="111"/>
      <c r="I34" s="111" t="s">
        <v>1442</v>
      </c>
      <c r="J34" s="111" t="s">
        <v>1443</v>
      </c>
      <c r="Q34" s="96" t="s">
        <v>487</v>
      </c>
      <c r="T34" s="161" t="s">
        <v>1089</v>
      </c>
      <c r="U34" s="162" t="s">
        <v>1089</v>
      </c>
    </row>
    <row r="35" spans="5:21" ht="15.75" thickBot="1" x14ac:dyDescent="0.3">
      <c r="E35" s="111" t="s">
        <v>682</v>
      </c>
      <c r="F35" s="111" t="s">
        <v>681</v>
      </c>
      <c r="G35" s="111"/>
      <c r="I35" s="111" t="s">
        <v>142</v>
      </c>
      <c r="J35" s="111" t="s">
        <v>552</v>
      </c>
      <c r="Q35" s="96" t="s">
        <v>488</v>
      </c>
      <c r="T35" s="161" t="s">
        <v>1090</v>
      </c>
      <c r="U35" s="162" t="s">
        <v>1090</v>
      </c>
    </row>
    <row r="36" spans="5:21" ht="15.75" thickBot="1" x14ac:dyDescent="0.3">
      <c r="E36" s="111" t="s">
        <v>50</v>
      </c>
      <c r="F36" s="111" t="s">
        <v>49</v>
      </c>
      <c r="G36" s="111"/>
      <c r="I36" s="111" t="s">
        <v>1479</v>
      </c>
      <c r="J36" s="111" t="s">
        <v>1480</v>
      </c>
      <c r="Q36" s="96" t="s">
        <v>772</v>
      </c>
      <c r="T36" s="161" t="s">
        <v>1091</v>
      </c>
      <c r="U36" s="162" t="s">
        <v>1091</v>
      </c>
    </row>
    <row r="37" spans="5:21" ht="15.75" thickBot="1" x14ac:dyDescent="0.3">
      <c r="E37" s="111" t="s">
        <v>44</v>
      </c>
      <c r="F37" s="111" t="s">
        <v>43</v>
      </c>
      <c r="G37" s="111"/>
      <c r="I37" s="111" t="s">
        <v>137</v>
      </c>
      <c r="J37" s="111" t="s">
        <v>553</v>
      </c>
      <c r="Q37" s="96" t="s">
        <v>489</v>
      </c>
      <c r="T37" s="161" t="s">
        <v>897</v>
      </c>
      <c r="U37" s="162" t="s">
        <v>897</v>
      </c>
    </row>
    <row r="38" spans="5:21" ht="15.75" thickBot="1" x14ac:dyDescent="0.3">
      <c r="E38" s="111" t="s">
        <v>754</v>
      </c>
      <c r="F38" s="111" t="s">
        <v>753</v>
      </c>
      <c r="G38" s="111"/>
      <c r="I38" s="14" t="s">
        <v>155</v>
      </c>
      <c r="J38" s="111" t="s">
        <v>554</v>
      </c>
      <c r="Q38" s="96" t="s">
        <v>490</v>
      </c>
      <c r="T38" s="161" t="s">
        <v>898</v>
      </c>
      <c r="U38" s="162" t="s">
        <v>898</v>
      </c>
    </row>
    <row r="39" spans="5:21" ht="15.75" thickBot="1" x14ac:dyDescent="0.3">
      <c r="E39" s="111" t="s">
        <v>55</v>
      </c>
      <c r="F39" s="111" t="s">
        <v>567</v>
      </c>
      <c r="G39" s="111"/>
      <c r="I39" s="111" t="s">
        <v>149</v>
      </c>
      <c r="J39" s="111" t="s">
        <v>640</v>
      </c>
      <c r="Q39" s="96" t="s">
        <v>491</v>
      </c>
      <c r="T39" s="161" t="s">
        <v>899</v>
      </c>
      <c r="U39" s="162" t="s">
        <v>899</v>
      </c>
    </row>
    <row r="40" spans="5:21" ht="15.75" thickBot="1" x14ac:dyDescent="0.3">
      <c r="E40" s="111" t="s">
        <v>756</v>
      </c>
      <c r="F40" s="111" t="s">
        <v>755</v>
      </c>
      <c r="G40" s="111"/>
      <c r="I40" s="111" t="s">
        <v>144</v>
      </c>
      <c r="J40" s="111" t="s">
        <v>641</v>
      </c>
      <c r="Q40" s="96" t="s">
        <v>492</v>
      </c>
      <c r="T40" s="161" t="s">
        <v>900</v>
      </c>
      <c r="U40" s="162" t="s">
        <v>900</v>
      </c>
    </row>
    <row r="41" spans="5:21" ht="15.75" thickBot="1" x14ac:dyDescent="0.3">
      <c r="I41" s="111" t="s">
        <v>129</v>
      </c>
      <c r="J41" s="111" t="s">
        <v>642</v>
      </c>
      <c r="Q41" s="96" t="s">
        <v>773</v>
      </c>
      <c r="T41" s="161" t="s">
        <v>901</v>
      </c>
      <c r="U41" s="162" t="s">
        <v>901</v>
      </c>
    </row>
    <row r="42" spans="5:21" ht="15.75" thickBot="1" x14ac:dyDescent="0.3">
      <c r="I42" s="111" t="s">
        <v>1444</v>
      </c>
      <c r="J42" s="111" t="s">
        <v>1445</v>
      </c>
      <c r="Q42" s="96" t="s">
        <v>493</v>
      </c>
      <c r="T42" s="161" t="s">
        <v>902</v>
      </c>
      <c r="U42" s="162" t="s">
        <v>902</v>
      </c>
    </row>
    <row r="43" spans="5:21" ht="15.75" thickBot="1" x14ac:dyDescent="0.3">
      <c r="I43" s="111" t="s">
        <v>139</v>
      </c>
      <c r="J43" s="111" t="s">
        <v>643</v>
      </c>
      <c r="Q43" s="96" t="s">
        <v>494</v>
      </c>
      <c r="T43" s="161" t="s">
        <v>903</v>
      </c>
      <c r="U43" s="162" t="s">
        <v>903</v>
      </c>
    </row>
    <row r="44" spans="5:21" ht="15.75" thickBot="1" x14ac:dyDescent="0.3">
      <c r="I44" s="111" t="s">
        <v>1481</v>
      </c>
      <c r="J44" s="111" t="s">
        <v>1482</v>
      </c>
      <c r="Q44" s="96" t="s">
        <v>774</v>
      </c>
      <c r="T44" s="161" t="s">
        <v>904</v>
      </c>
      <c r="U44" s="162" t="s">
        <v>904</v>
      </c>
    </row>
    <row r="45" spans="5:21" ht="15.75" thickBot="1" x14ac:dyDescent="0.3">
      <c r="I45" s="111" t="s">
        <v>134</v>
      </c>
      <c r="J45" s="111" t="s">
        <v>644</v>
      </c>
      <c r="Q45" s="96" t="s">
        <v>495</v>
      </c>
      <c r="T45" s="161" t="s">
        <v>905</v>
      </c>
      <c r="U45" s="162" t="s">
        <v>905</v>
      </c>
    </row>
    <row r="46" spans="5:21" ht="15.75" thickBot="1" x14ac:dyDescent="0.3">
      <c r="I46" s="111" t="s">
        <v>1516</v>
      </c>
      <c r="J46" s="111" t="s">
        <v>1536</v>
      </c>
      <c r="Q46" s="96" t="s">
        <v>496</v>
      </c>
      <c r="T46" s="161" t="s">
        <v>906</v>
      </c>
      <c r="U46" s="162" t="s">
        <v>906</v>
      </c>
    </row>
    <row r="47" spans="5:21" ht="15.75" thickBot="1" x14ac:dyDescent="0.3">
      <c r="I47" s="111" t="s">
        <v>1517</v>
      </c>
      <c r="J47" s="111" t="s">
        <v>1537</v>
      </c>
      <c r="Q47" s="96" t="s">
        <v>497</v>
      </c>
      <c r="T47" s="161" t="s">
        <v>907</v>
      </c>
      <c r="U47" s="162" t="s">
        <v>907</v>
      </c>
    </row>
    <row r="48" spans="5:21" ht="15.75" thickBot="1" x14ac:dyDescent="0.3">
      <c r="I48" s="111" t="s">
        <v>1518</v>
      </c>
      <c r="J48" s="111" t="s">
        <v>1538</v>
      </c>
      <c r="Q48" s="96" t="s">
        <v>498</v>
      </c>
      <c r="T48" s="161" t="s">
        <v>908</v>
      </c>
      <c r="U48" s="162" t="s">
        <v>908</v>
      </c>
    </row>
    <row r="49" spans="9:21" ht="15.75" thickBot="1" x14ac:dyDescent="0.3">
      <c r="I49" s="111" t="s">
        <v>1519</v>
      </c>
      <c r="J49" s="111" t="s">
        <v>1539</v>
      </c>
      <c r="Q49" s="96" t="s">
        <v>775</v>
      </c>
      <c r="T49" s="161" t="s">
        <v>1092</v>
      </c>
      <c r="U49" s="162" t="s">
        <v>1092</v>
      </c>
    </row>
    <row r="50" spans="9:21" ht="15.75" thickBot="1" x14ac:dyDescent="0.3">
      <c r="I50" s="111" t="s">
        <v>1520</v>
      </c>
      <c r="J50" s="111" t="s">
        <v>1540</v>
      </c>
      <c r="Q50" s="96" t="s">
        <v>499</v>
      </c>
      <c r="T50" s="161" t="s">
        <v>979</v>
      </c>
      <c r="U50" s="162" t="s">
        <v>979</v>
      </c>
    </row>
    <row r="51" spans="9:21" ht="15.75" thickBot="1" x14ac:dyDescent="0.3">
      <c r="I51" s="111" t="s">
        <v>1521</v>
      </c>
      <c r="J51" s="111" t="s">
        <v>1541</v>
      </c>
      <c r="Q51" s="96" t="s">
        <v>776</v>
      </c>
      <c r="T51" s="161" t="s">
        <v>980</v>
      </c>
      <c r="U51" s="162" t="s">
        <v>980</v>
      </c>
    </row>
    <row r="52" spans="9:21" ht="15.75" thickBot="1" x14ac:dyDescent="0.3">
      <c r="I52" s="111" t="s">
        <v>1522</v>
      </c>
      <c r="J52" s="111" t="s">
        <v>1542</v>
      </c>
      <c r="Q52" s="96" t="s">
        <v>777</v>
      </c>
      <c r="T52" s="161" t="s">
        <v>981</v>
      </c>
      <c r="U52" s="162" t="s">
        <v>981</v>
      </c>
    </row>
    <row r="53" spans="9:21" ht="15.75" thickBot="1" x14ac:dyDescent="0.3">
      <c r="I53" s="111" t="s">
        <v>1523</v>
      </c>
      <c r="J53" s="111" t="s">
        <v>1543</v>
      </c>
      <c r="Q53" s="96" t="s">
        <v>778</v>
      </c>
      <c r="T53" s="161" t="s">
        <v>1093</v>
      </c>
      <c r="U53" s="162" t="s">
        <v>1093</v>
      </c>
    </row>
    <row r="54" spans="9:21" ht="15.75" thickBot="1" x14ac:dyDescent="0.3">
      <c r="I54" s="111" t="s">
        <v>1524</v>
      </c>
      <c r="J54" s="111" t="s">
        <v>1544</v>
      </c>
      <c r="Q54" s="96" t="s">
        <v>779</v>
      </c>
      <c r="T54" s="161" t="s">
        <v>909</v>
      </c>
      <c r="U54" s="162" t="s">
        <v>909</v>
      </c>
    </row>
    <row r="55" spans="9:21" ht="15.75" thickBot="1" x14ac:dyDescent="0.3">
      <c r="I55" s="14" t="s">
        <v>156</v>
      </c>
      <c r="J55" s="111" t="s">
        <v>555</v>
      </c>
      <c r="Q55" s="96" t="s">
        <v>780</v>
      </c>
      <c r="T55" s="161" t="s">
        <v>910</v>
      </c>
      <c r="U55" s="162" t="s">
        <v>910</v>
      </c>
    </row>
    <row r="56" spans="9:21" ht="15.75" thickBot="1" x14ac:dyDescent="0.3">
      <c r="I56" s="111" t="s">
        <v>1450</v>
      </c>
      <c r="J56" s="111" t="s">
        <v>1451</v>
      </c>
      <c r="Q56" s="96" t="s">
        <v>781</v>
      </c>
      <c r="T56" s="161" t="s">
        <v>911</v>
      </c>
      <c r="U56" s="162" t="s">
        <v>911</v>
      </c>
    </row>
    <row r="57" spans="9:21" ht="15.75" thickBot="1" x14ac:dyDescent="0.3">
      <c r="I57" s="111" t="s">
        <v>1452</v>
      </c>
      <c r="J57" s="111" t="s">
        <v>1453</v>
      </c>
      <c r="Q57" s="96" t="s">
        <v>782</v>
      </c>
      <c r="T57" s="161" t="s">
        <v>1094</v>
      </c>
      <c r="U57" s="162" t="s">
        <v>1094</v>
      </c>
    </row>
    <row r="58" spans="9:21" ht="15.75" thickBot="1" x14ac:dyDescent="0.3">
      <c r="I58" s="111" t="s">
        <v>1454</v>
      </c>
      <c r="J58" s="111" t="s">
        <v>1455</v>
      </c>
      <c r="Q58" s="96" t="s">
        <v>783</v>
      </c>
      <c r="T58" s="161" t="s">
        <v>912</v>
      </c>
      <c r="U58" s="162" t="s">
        <v>912</v>
      </c>
    </row>
    <row r="59" spans="9:21" ht="15.75" thickBot="1" x14ac:dyDescent="0.3">
      <c r="I59" s="111" t="s">
        <v>1456</v>
      </c>
      <c r="J59" s="111" t="s">
        <v>1457</v>
      </c>
      <c r="Q59" s="96" t="s">
        <v>500</v>
      </c>
      <c r="T59" s="161" t="s">
        <v>913</v>
      </c>
      <c r="U59" s="162" t="s">
        <v>913</v>
      </c>
    </row>
    <row r="60" spans="9:21" ht="15.75" thickBot="1" x14ac:dyDescent="0.3">
      <c r="I60" s="111" t="s">
        <v>1458</v>
      </c>
      <c r="J60" s="111" t="s">
        <v>1459</v>
      </c>
      <c r="Q60" s="96" t="s">
        <v>501</v>
      </c>
      <c r="T60" s="161" t="s">
        <v>914</v>
      </c>
      <c r="U60" s="162" t="s">
        <v>914</v>
      </c>
    </row>
    <row r="61" spans="9:21" ht="15.75" thickBot="1" x14ac:dyDescent="0.3">
      <c r="I61" s="111" t="s">
        <v>1487</v>
      </c>
      <c r="J61" s="111" t="s">
        <v>1488</v>
      </c>
      <c r="Q61" s="96" t="s">
        <v>502</v>
      </c>
      <c r="T61" s="161" t="s">
        <v>915</v>
      </c>
      <c r="U61" s="162" t="s">
        <v>915</v>
      </c>
    </row>
    <row r="62" spans="9:21" ht="15.75" thickBot="1" x14ac:dyDescent="0.3">
      <c r="I62" s="111" t="s">
        <v>1460</v>
      </c>
      <c r="J62" s="111" t="s">
        <v>1461</v>
      </c>
      <c r="Q62" s="96" t="s">
        <v>503</v>
      </c>
      <c r="T62" s="161" t="s">
        <v>916</v>
      </c>
      <c r="U62" s="162" t="s">
        <v>916</v>
      </c>
    </row>
    <row r="63" spans="9:21" ht="15.75" thickBot="1" x14ac:dyDescent="0.3">
      <c r="I63" s="111" t="s">
        <v>151</v>
      </c>
      <c r="J63" s="111" t="s">
        <v>556</v>
      </c>
      <c r="Q63" s="96" t="s">
        <v>784</v>
      </c>
      <c r="T63" s="161" t="s">
        <v>917</v>
      </c>
      <c r="U63" s="162" t="s">
        <v>917</v>
      </c>
    </row>
    <row r="64" spans="9:21" ht="15.75" thickBot="1" x14ac:dyDescent="0.3">
      <c r="I64" s="111" t="s">
        <v>146</v>
      </c>
      <c r="J64" s="111" t="s">
        <v>557</v>
      </c>
      <c r="Q64" s="96" t="s">
        <v>504</v>
      </c>
      <c r="T64" s="161" t="s">
        <v>918</v>
      </c>
      <c r="U64" s="162" t="s">
        <v>918</v>
      </c>
    </row>
    <row r="65" spans="9:21" ht="15.75" thickBot="1" x14ac:dyDescent="0.3">
      <c r="I65" s="111" t="s">
        <v>131</v>
      </c>
      <c r="J65" s="111" t="s">
        <v>645</v>
      </c>
      <c r="Q65" s="96" t="s">
        <v>505</v>
      </c>
      <c r="T65" s="161" t="s">
        <v>919</v>
      </c>
      <c r="U65" s="162" t="s">
        <v>919</v>
      </c>
    </row>
    <row r="66" spans="9:21" ht="15.75" thickBot="1" x14ac:dyDescent="0.3">
      <c r="I66" s="111" t="s">
        <v>1446</v>
      </c>
      <c r="J66" s="111" t="s">
        <v>1447</v>
      </c>
      <c r="Q66" s="96" t="s">
        <v>506</v>
      </c>
      <c r="T66" s="161" t="s">
        <v>920</v>
      </c>
      <c r="U66" s="162" t="s">
        <v>920</v>
      </c>
    </row>
    <row r="67" spans="9:21" ht="15.75" thickBot="1" x14ac:dyDescent="0.3">
      <c r="I67" s="111" t="s">
        <v>141</v>
      </c>
      <c r="J67" s="111" t="s">
        <v>558</v>
      </c>
      <c r="Q67" s="96" t="s">
        <v>507</v>
      </c>
      <c r="T67" s="161" t="s">
        <v>921</v>
      </c>
      <c r="U67" s="162" t="s">
        <v>921</v>
      </c>
    </row>
    <row r="68" spans="9:21" ht="15.75" thickBot="1" x14ac:dyDescent="0.3">
      <c r="I68" s="111" t="s">
        <v>1483</v>
      </c>
      <c r="J68" s="111" t="s">
        <v>1484</v>
      </c>
      <c r="Q68" s="96" t="s">
        <v>508</v>
      </c>
      <c r="T68" s="161" t="s">
        <v>922</v>
      </c>
      <c r="U68" s="162" t="s">
        <v>922</v>
      </c>
    </row>
    <row r="69" spans="9:21" ht="15.75" thickBot="1" x14ac:dyDescent="0.3">
      <c r="I69" s="111" t="s">
        <v>136</v>
      </c>
      <c r="J69" s="111" t="s">
        <v>559</v>
      </c>
      <c r="Q69" s="96" t="s">
        <v>509</v>
      </c>
      <c r="T69" s="161" t="s">
        <v>1593</v>
      </c>
      <c r="U69" s="161" t="s">
        <v>1593</v>
      </c>
    </row>
    <row r="70" spans="9:21" ht="15.75" thickBot="1" x14ac:dyDescent="0.3">
      <c r="I70" s="111" t="s">
        <v>1489</v>
      </c>
      <c r="J70" s="111" t="s">
        <v>1496</v>
      </c>
      <c r="Q70" s="96" t="s">
        <v>510</v>
      </c>
      <c r="T70" s="161" t="s">
        <v>1594</v>
      </c>
      <c r="U70" s="161" t="s">
        <v>1594</v>
      </c>
    </row>
    <row r="71" spans="9:21" ht="15.75" thickBot="1" x14ac:dyDescent="0.3">
      <c r="I71" s="111" t="s">
        <v>1490</v>
      </c>
      <c r="J71" s="111" t="s">
        <v>1497</v>
      </c>
      <c r="Q71" s="96" t="s">
        <v>511</v>
      </c>
      <c r="T71" s="161" t="s">
        <v>923</v>
      </c>
      <c r="U71" s="162" t="s">
        <v>923</v>
      </c>
    </row>
    <row r="72" spans="9:21" ht="15.75" thickBot="1" x14ac:dyDescent="0.3">
      <c r="I72" s="111" t="s">
        <v>1491</v>
      </c>
      <c r="J72" s="111" t="s">
        <v>1498</v>
      </c>
      <c r="Q72" s="96" t="s">
        <v>512</v>
      </c>
      <c r="T72" s="161" t="s">
        <v>924</v>
      </c>
      <c r="U72" s="162" t="s">
        <v>924</v>
      </c>
    </row>
    <row r="73" spans="9:21" ht="15.75" thickBot="1" x14ac:dyDescent="0.3">
      <c r="I73" s="111" t="s">
        <v>1492</v>
      </c>
      <c r="J73" s="111" t="s">
        <v>1499</v>
      </c>
      <c r="Q73" s="96" t="s">
        <v>513</v>
      </c>
      <c r="T73" s="161" t="s">
        <v>925</v>
      </c>
      <c r="U73" s="162" t="s">
        <v>925</v>
      </c>
    </row>
    <row r="74" spans="9:21" ht="15.75" thickBot="1" x14ac:dyDescent="0.3">
      <c r="I74" s="111" t="s">
        <v>1493</v>
      </c>
      <c r="J74" s="111" t="s">
        <v>1500</v>
      </c>
      <c r="Q74" s="96" t="s">
        <v>514</v>
      </c>
      <c r="T74" s="161" t="s">
        <v>926</v>
      </c>
      <c r="U74" s="162" t="s">
        <v>926</v>
      </c>
    </row>
    <row r="75" spans="9:21" ht="15.75" thickBot="1" x14ac:dyDescent="0.3">
      <c r="I75" s="111" t="s">
        <v>1494</v>
      </c>
      <c r="J75" s="111" t="s">
        <v>1501</v>
      </c>
      <c r="Q75" s="96" t="s">
        <v>515</v>
      </c>
      <c r="T75" s="161" t="s">
        <v>982</v>
      </c>
      <c r="U75" s="162" t="s">
        <v>982</v>
      </c>
    </row>
    <row r="76" spans="9:21" ht="15.75" thickBot="1" x14ac:dyDescent="0.3">
      <c r="I76" s="111" t="s">
        <v>1495</v>
      </c>
      <c r="J76" s="111" t="s">
        <v>1502</v>
      </c>
      <c r="Q76" s="96" t="s">
        <v>516</v>
      </c>
      <c r="T76" s="161" t="s">
        <v>927</v>
      </c>
      <c r="U76" s="162" t="s">
        <v>927</v>
      </c>
    </row>
    <row r="77" spans="9:21" ht="15.75" thickBot="1" x14ac:dyDescent="0.3">
      <c r="I77" s="111" t="s">
        <v>150</v>
      </c>
      <c r="J77" s="111" t="s">
        <v>560</v>
      </c>
      <c r="Q77" s="96" t="s">
        <v>517</v>
      </c>
      <c r="T77" s="161" t="s">
        <v>928</v>
      </c>
      <c r="U77" s="162" t="s">
        <v>928</v>
      </c>
    </row>
    <row r="78" spans="9:21" ht="15.75" thickBot="1" x14ac:dyDescent="0.3">
      <c r="I78" s="111" t="s">
        <v>145</v>
      </c>
      <c r="J78" s="111" t="s">
        <v>561</v>
      </c>
      <c r="Q78" s="96" t="s">
        <v>518</v>
      </c>
      <c r="T78" s="161" t="s">
        <v>983</v>
      </c>
      <c r="U78" s="162" t="s">
        <v>983</v>
      </c>
    </row>
    <row r="79" spans="9:21" ht="15.75" thickBot="1" x14ac:dyDescent="0.3">
      <c r="I79" s="111" t="s">
        <v>130</v>
      </c>
      <c r="J79" s="111" t="s">
        <v>646</v>
      </c>
      <c r="Q79" s="96" t="s">
        <v>519</v>
      </c>
      <c r="T79" s="161" t="s">
        <v>984</v>
      </c>
      <c r="U79" s="162" t="s">
        <v>984</v>
      </c>
    </row>
    <row r="80" spans="9:21" ht="15.75" thickBot="1" x14ac:dyDescent="0.3">
      <c r="I80" s="111" t="s">
        <v>1448</v>
      </c>
      <c r="J80" s="111" t="s">
        <v>1449</v>
      </c>
      <c r="Q80" s="96" t="s">
        <v>520</v>
      </c>
      <c r="T80" s="161" t="s">
        <v>985</v>
      </c>
      <c r="U80" s="162" t="s">
        <v>985</v>
      </c>
    </row>
    <row r="81" spans="9:21" ht="15.75" thickBot="1" x14ac:dyDescent="0.3">
      <c r="I81" s="111" t="s">
        <v>140</v>
      </c>
      <c r="J81" s="111" t="s">
        <v>562</v>
      </c>
      <c r="Q81" s="96" t="s">
        <v>521</v>
      </c>
      <c r="T81" s="161" t="s">
        <v>986</v>
      </c>
      <c r="U81" s="162" t="s">
        <v>986</v>
      </c>
    </row>
    <row r="82" spans="9:21" ht="15.75" thickBot="1" x14ac:dyDescent="0.3">
      <c r="I82" s="111" t="s">
        <v>1485</v>
      </c>
      <c r="J82" s="111" t="s">
        <v>1486</v>
      </c>
      <c r="Q82" s="96" t="s">
        <v>522</v>
      </c>
      <c r="T82" s="161" t="s">
        <v>987</v>
      </c>
      <c r="U82" s="162" t="s">
        <v>987</v>
      </c>
    </row>
    <row r="83" spans="9:21" ht="15.75" thickBot="1" x14ac:dyDescent="0.3">
      <c r="I83" s="111" t="s">
        <v>135</v>
      </c>
      <c r="J83" s="111" t="s">
        <v>563</v>
      </c>
      <c r="Q83" s="96" t="s">
        <v>523</v>
      </c>
      <c r="T83" s="161" t="s">
        <v>988</v>
      </c>
      <c r="U83" s="162" t="s">
        <v>988</v>
      </c>
    </row>
    <row r="84" spans="9:21" ht="15.75" thickBot="1" x14ac:dyDescent="0.3">
      <c r="Q84" s="96" t="s">
        <v>524</v>
      </c>
      <c r="T84" s="161" t="s">
        <v>989</v>
      </c>
      <c r="U84" s="162" t="s">
        <v>989</v>
      </c>
    </row>
    <row r="85" spans="9:21" ht="15.75" thickBot="1" x14ac:dyDescent="0.3">
      <c r="Q85" s="96" t="s">
        <v>525</v>
      </c>
      <c r="T85" s="161" t="s">
        <v>990</v>
      </c>
      <c r="U85" s="162" t="s">
        <v>990</v>
      </c>
    </row>
    <row r="86" spans="9:21" ht="15.75" thickBot="1" x14ac:dyDescent="0.3">
      <c r="Q86" s="96" t="s">
        <v>526</v>
      </c>
      <c r="T86" s="161" t="s">
        <v>991</v>
      </c>
      <c r="U86" s="162" t="s">
        <v>991</v>
      </c>
    </row>
    <row r="87" spans="9:21" ht="15.75" thickBot="1" x14ac:dyDescent="0.3">
      <c r="Q87" s="96" t="s">
        <v>527</v>
      </c>
      <c r="T87" s="161" t="s">
        <v>992</v>
      </c>
      <c r="U87" s="162" t="s">
        <v>992</v>
      </c>
    </row>
    <row r="88" spans="9:21" ht="15.75" thickBot="1" x14ac:dyDescent="0.3">
      <c r="Q88" s="96" t="s">
        <v>528</v>
      </c>
      <c r="T88" s="161" t="s">
        <v>993</v>
      </c>
      <c r="U88" s="162" t="s">
        <v>993</v>
      </c>
    </row>
    <row r="89" spans="9:21" ht="15.75" thickBot="1" x14ac:dyDescent="0.3">
      <c r="Q89" s="96" t="s">
        <v>529</v>
      </c>
      <c r="T89" s="161" t="s">
        <v>994</v>
      </c>
      <c r="U89" s="162" t="s">
        <v>994</v>
      </c>
    </row>
    <row r="90" spans="9:21" ht="15.75" thickBot="1" x14ac:dyDescent="0.3">
      <c r="Q90" s="96" t="s">
        <v>530</v>
      </c>
      <c r="T90" s="161" t="s">
        <v>995</v>
      </c>
      <c r="U90" s="162" t="s">
        <v>995</v>
      </c>
    </row>
    <row r="91" spans="9:21" ht="15.75" thickBot="1" x14ac:dyDescent="0.3">
      <c r="Q91" s="96" t="s">
        <v>531</v>
      </c>
      <c r="T91" s="161" t="s">
        <v>996</v>
      </c>
      <c r="U91" s="162" t="s">
        <v>996</v>
      </c>
    </row>
    <row r="92" spans="9:21" ht="15.75" thickBot="1" x14ac:dyDescent="0.3">
      <c r="Q92" s="96" t="s">
        <v>532</v>
      </c>
      <c r="T92" s="161" t="s">
        <v>997</v>
      </c>
      <c r="U92" s="162" t="s">
        <v>997</v>
      </c>
    </row>
    <row r="93" spans="9:21" ht="15.75" thickBot="1" x14ac:dyDescent="0.3">
      <c r="Q93" s="96" t="s">
        <v>533</v>
      </c>
      <c r="T93" s="161" t="s">
        <v>998</v>
      </c>
      <c r="U93" s="162" t="s">
        <v>998</v>
      </c>
    </row>
    <row r="94" spans="9:21" ht="15.75" thickBot="1" x14ac:dyDescent="0.3">
      <c r="Q94" s="96" t="s">
        <v>534</v>
      </c>
      <c r="T94" s="161" t="s">
        <v>999</v>
      </c>
      <c r="U94" s="162" t="s">
        <v>999</v>
      </c>
    </row>
    <row r="95" spans="9:21" ht="15.75" thickBot="1" x14ac:dyDescent="0.3">
      <c r="Q95" s="96" t="s">
        <v>535</v>
      </c>
      <c r="T95" s="161" t="s">
        <v>1000</v>
      </c>
      <c r="U95" s="162" t="s">
        <v>1000</v>
      </c>
    </row>
    <row r="96" spans="9:21" ht="15.75" thickBot="1" x14ac:dyDescent="0.3">
      <c r="Q96" s="96" t="s">
        <v>536</v>
      </c>
      <c r="T96" s="161" t="s">
        <v>879</v>
      </c>
      <c r="U96" s="162" t="s">
        <v>879</v>
      </c>
    </row>
    <row r="97" spans="17:21" ht="15.75" thickBot="1" x14ac:dyDescent="0.3">
      <c r="Q97" s="96" t="s">
        <v>537</v>
      </c>
      <c r="T97" s="161" t="s">
        <v>1095</v>
      </c>
      <c r="U97" s="162" t="s">
        <v>1095</v>
      </c>
    </row>
    <row r="98" spans="17:21" ht="15.75" thickBot="1" x14ac:dyDescent="0.3">
      <c r="Q98" s="96" t="s">
        <v>538</v>
      </c>
      <c r="T98" s="161" t="s">
        <v>929</v>
      </c>
      <c r="U98" s="162" t="s">
        <v>929</v>
      </c>
    </row>
    <row r="99" spans="17:21" ht="15.75" thickBot="1" x14ac:dyDescent="0.3">
      <c r="Q99" s="96" t="s">
        <v>539</v>
      </c>
      <c r="T99" s="161" t="s">
        <v>930</v>
      </c>
      <c r="U99" s="162" t="s">
        <v>930</v>
      </c>
    </row>
    <row r="100" spans="17:21" ht="15.75" thickBot="1" x14ac:dyDescent="0.3">
      <c r="Q100" s="96" t="s">
        <v>540</v>
      </c>
      <c r="T100" s="161" t="s">
        <v>1096</v>
      </c>
      <c r="U100" s="162" t="s">
        <v>1096</v>
      </c>
    </row>
    <row r="101" spans="17:21" ht="15.75" thickBot="1" x14ac:dyDescent="0.3">
      <c r="Q101" s="96" t="s">
        <v>541</v>
      </c>
      <c r="T101" s="161" t="s">
        <v>1001</v>
      </c>
      <c r="U101" s="162" t="s">
        <v>1001</v>
      </c>
    </row>
    <row r="102" spans="17:21" ht="15.75" thickBot="1" x14ac:dyDescent="0.3">
      <c r="Q102" s="96" t="s">
        <v>542</v>
      </c>
      <c r="T102" s="161" t="s">
        <v>1097</v>
      </c>
      <c r="U102" s="162" t="s">
        <v>1097</v>
      </c>
    </row>
    <row r="103" spans="17:21" ht="15.75" thickBot="1" x14ac:dyDescent="0.3">
      <c r="Q103" s="96" t="s">
        <v>543</v>
      </c>
      <c r="T103" s="161" t="s">
        <v>931</v>
      </c>
      <c r="U103" s="162" t="s">
        <v>931</v>
      </c>
    </row>
    <row r="104" spans="17:21" ht="15.75" thickBot="1" x14ac:dyDescent="0.3">
      <c r="Q104" s="96" t="s">
        <v>544</v>
      </c>
      <c r="T104" s="161" t="s">
        <v>932</v>
      </c>
      <c r="U104" s="162" t="s">
        <v>932</v>
      </c>
    </row>
    <row r="105" spans="17:21" ht="15.75" thickBot="1" x14ac:dyDescent="0.3">
      <c r="Q105" s="96" t="s">
        <v>545</v>
      </c>
      <c r="T105" s="161" t="s">
        <v>933</v>
      </c>
      <c r="U105" s="162" t="s">
        <v>933</v>
      </c>
    </row>
    <row r="106" spans="17:21" ht="15.75" thickBot="1" x14ac:dyDescent="0.3">
      <c r="T106" s="161" t="s">
        <v>934</v>
      </c>
      <c r="U106" s="162" t="s">
        <v>934</v>
      </c>
    </row>
    <row r="107" spans="17:21" ht="15.75" thickBot="1" x14ac:dyDescent="0.3">
      <c r="T107" s="161" t="s">
        <v>935</v>
      </c>
      <c r="U107" s="162" t="s">
        <v>935</v>
      </c>
    </row>
    <row r="108" spans="17:21" ht="15.75" thickBot="1" x14ac:dyDescent="0.3">
      <c r="T108" s="161" t="s">
        <v>936</v>
      </c>
      <c r="U108" s="162" t="s">
        <v>936</v>
      </c>
    </row>
    <row r="109" spans="17:21" ht="15.75" thickBot="1" x14ac:dyDescent="0.3">
      <c r="T109" s="161" t="s">
        <v>937</v>
      </c>
      <c r="U109" s="162" t="s">
        <v>937</v>
      </c>
    </row>
    <row r="110" spans="17:21" ht="15.75" thickBot="1" x14ac:dyDescent="0.3">
      <c r="T110" s="161" t="s">
        <v>938</v>
      </c>
      <c r="U110" s="162" t="s">
        <v>938</v>
      </c>
    </row>
    <row r="111" spans="17:21" ht="15.75" thickBot="1" x14ac:dyDescent="0.3">
      <c r="T111" s="161" t="s">
        <v>939</v>
      </c>
      <c r="U111" s="162" t="s">
        <v>939</v>
      </c>
    </row>
    <row r="112" spans="17:21" ht="15.75" thickBot="1" x14ac:dyDescent="0.3">
      <c r="T112" s="161" t="s">
        <v>940</v>
      </c>
      <c r="U112" s="162" t="s">
        <v>940</v>
      </c>
    </row>
    <row r="113" spans="20:21" ht="15.75" thickBot="1" x14ac:dyDescent="0.3">
      <c r="T113" s="161" t="s">
        <v>1002</v>
      </c>
      <c r="U113" s="162" t="s">
        <v>1002</v>
      </c>
    </row>
    <row r="114" spans="20:21" ht="15.75" thickBot="1" x14ac:dyDescent="0.3">
      <c r="T114" s="161" t="s">
        <v>1003</v>
      </c>
      <c r="U114" s="162" t="s">
        <v>1003</v>
      </c>
    </row>
    <row r="115" spans="20:21" ht="15.75" thickBot="1" x14ac:dyDescent="0.3">
      <c r="T115" s="161" t="s">
        <v>1004</v>
      </c>
      <c r="U115" s="162" t="s">
        <v>1004</v>
      </c>
    </row>
    <row r="116" spans="20:21" ht="15.75" thickBot="1" x14ac:dyDescent="0.3">
      <c r="T116" s="161" t="s">
        <v>941</v>
      </c>
      <c r="U116" s="162" t="s">
        <v>941</v>
      </c>
    </row>
    <row r="117" spans="20:21" ht="15.75" thickBot="1" x14ac:dyDescent="0.3">
      <c r="T117" s="161" t="s">
        <v>1098</v>
      </c>
      <c r="U117" s="162" t="s">
        <v>1098</v>
      </c>
    </row>
    <row r="118" spans="20:21" ht="15.75" thickBot="1" x14ac:dyDescent="0.3">
      <c r="T118" s="161" t="s">
        <v>1595</v>
      </c>
      <c r="U118" s="161" t="s">
        <v>1595</v>
      </c>
    </row>
    <row r="119" spans="20:21" ht="15.75" thickBot="1" x14ac:dyDescent="0.3">
      <c r="T119" s="161" t="s">
        <v>1596</v>
      </c>
      <c r="U119" s="161" t="s">
        <v>1597</v>
      </c>
    </row>
    <row r="120" spans="20:21" ht="15.75" thickBot="1" x14ac:dyDescent="0.3">
      <c r="T120" s="161" t="s">
        <v>1598</v>
      </c>
      <c r="U120" s="161" t="s">
        <v>1599</v>
      </c>
    </row>
    <row r="121" spans="20:21" ht="15.75" thickBot="1" x14ac:dyDescent="0.3">
      <c r="T121" s="161" t="s">
        <v>1600</v>
      </c>
      <c r="U121" s="161" t="s">
        <v>1601</v>
      </c>
    </row>
    <row r="122" spans="20:21" ht="15.75" thickBot="1" x14ac:dyDescent="0.3">
      <c r="T122" s="161" t="s">
        <v>1602</v>
      </c>
      <c r="U122" s="161" t="s">
        <v>1603</v>
      </c>
    </row>
    <row r="123" spans="20:21" ht="15.75" thickBot="1" x14ac:dyDescent="0.3">
      <c r="T123" s="161" t="s">
        <v>1604</v>
      </c>
      <c r="U123" s="161" t="s">
        <v>1605</v>
      </c>
    </row>
    <row r="124" spans="20:21" ht="15.75" thickBot="1" x14ac:dyDescent="0.3">
      <c r="T124" s="161" t="s">
        <v>1606</v>
      </c>
      <c r="U124" s="161" t="s">
        <v>1607</v>
      </c>
    </row>
    <row r="125" spans="20:21" ht="15.75" thickBot="1" x14ac:dyDescent="0.3">
      <c r="T125" s="161" t="s">
        <v>1608</v>
      </c>
      <c r="U125" s="161" t="s">
        <v>1609</v>
      </c>
    </row>
    <row r="126" spans="20:21" ht="15.75" thickBot="1" x14ac:dyDescent="0.3">
      <c r="T126" s="161" t="s">
        <v>1610</v>
      </c>
      <c r="U126" s="161" t="s">
        <v>1610</v>
      </c>
    </row>
    <row r="127" spans="20:21" ht="15.75" thickBot="1" x14ac:dyDescent="0.3">
      <c r="T127" s="161" t="s">
        <v>1611</v>
      </c>
      <c r="U127" s="161" t="s">
        <v>1611</v>
      </c>
    </row>
    <row r="128" spans="20:21" ht="15.75" thickBot="1" x14ac:dyDescent="0.3">
      <c r="T128" s="161" t="s">
        <v>1612</v>
      </c>
      <c r="U128" s="161" t="s">
        <v>1612</v>
      </c>
    </row>
    <row r="129" spans="20:21" ht="15.75" thickBot="1" x14ac:dyDescent="0.3">
      <c r="T129" s="161" t="s">
        <v>1613</v>
      </c>
      <c r="U129" s="161" t="s">
        <v>1613</v>
      </c>
    </row>
    <row r="130" spans="20:21" ht="15.75" thickBot="1" x14ac:dyDescent="0.3">
      <c r="T130" s="161" t="s">
        <v>1614</v>
      </c>
      <c r="U130" s="161" t="s">
        <v>1614</v>
      </c>
    </row>
    <row r="131" spans="20:21" ht="15.75" thickBot="1" x14ac:dyDescent="0.3">
      <c r="T131" s="161" t="s">
        <v>1615</v>
      </c>
      <c r="U131" s="161" t="s">
        <v>1615</v>
      </c>
    </row>
    <row r="132" spans="20:21" ht="15.75" thickBot="1" x14ac:dyDescent="0.3">
      <c r="T132" s="161" t="s">
        <v>1616</v>
      </c>
      <c r="U132" s="161" t="s">
        <v>1616</v>
      </c>
    </row>
    <row r="133" spans="20:21" ht="15.75" thickBot="1" x14ac:dyDescent="0.3">
      <c r="T133" s="161" t="s">
        <v>1617</v>
      </c>
      <c r="U133" s="161" t="s">
        <v>1617</v>
      </c>
    </row>
    <row r="134" spans="20:21" ht="15.75" thickBot="1" x14ac:dyDescent="0.3">
      <c r="T134" s="161" t="s">
        <v>1618</v>
      </c>
      <c r="U134" s="161" t="s">
        <v>1618</v>
      </c>
    </row>
    <row r="135" spans="20:21" ht="15.75" thickBot="1" x14ac:dyDescent="0.3">
      <c r="T135" s="161" t="s">
        <v>1619</v>
      </c>
      <c r="U135" s="161" t="s">
        <v>1619</v>
      </c>
    </row>
    <row r="136" spans="20:21" ht="15.75" thickBot="1" x14ac:dyDescent="0.3">
      <c r="T136" s="161" t="s">
        <v>1620</v>
      </c>
      <c r="U136" s="161" t="s">
        <v>1620</v>
      </c>
    </row>
    <row r="137" spans="20:21" ht="15.75" thickBot="1" x14ac:dyDescent="0.3">
      <c r="T137" s="161" t="s">
        <v>1621</v>
      </c>
      <c r="U137" s="161" t="s">
        <v>1621</v>
      </c>
    </row>
    <row r="138" spans="20:21" ht="15.75" thickBot="1" x14ac:dyDescent="0.3">
      <c r="T138" s="161" t="s">
        <v>1622</v>
      </c>
      <c r="U138" s="161" t="s">
        <v>1622</v>
      </c>
    </row>
    <row r="139" spans="20:21" ht="15.75" thickBot="1" x14ac:dyDescent="0.3">
      <c r="T139" s="161" t="s">
        <v>1623</v>
      </c>
      <c r="U139" s="161" t="s">
        <v>1623</v>
      </c>
    </row>
    <row r="140" spans="20:21" ht="15.75" thickBot="1" x14ac:dyDescent="0.3">
      <c r="T140" s="161" t="s">
        <v>1624</v>
      </c>
      <c r="U140" s="161" t="s">
        <v>1625</v>
      </c>
    </row>
    <row r="141" spans="20:21" ht="15.75" thickBot="1" x14ac:dyDescent="0.3">
      <c r="T141" s="161" t="s">
        <v>1626</v>
      </c>
      <c r="U141" s="161" t="s">
        <v>1627</v>
      </c>
    </row>
    <row r="142" spans="20:21" ht="15.75" thickBot="1" x14ac:dyDescent="0.3">
      <c r="T142" s="161" t="s">
        <v>1628</v>
      </c>
      <c r="U142" s="161" t="s">
        <v>1629</v>
      </c>
    </row>
    <row r="143" spans="20:21" ht="15.75" thickBot="1" x14ac:dyDescent="0.3">
      <c r="T143" s="161" t="s">
        <v>1630</v>
      </c>
      <c r="U143" s="161" t="s">
        <v>1630</v>
      </c>
    </row>
    <row r="144" spans="20:21" ht="15.75" thickBot="1" x14ac:dyDescent="0.3">
      <c r="T144" s="161" t="s">
        <v>1631</v>
      </c>
      <c r="U144" s="161" t="s">
        <v>1631</v>
      </c>
    </row>
    <row r="145" spans="20:21" ht="15.75" thickBot="1" x14ac:dyDescent="0.3">
      <c r="T145" s="161" t="s">
        <v>1632</v>
      </c>
      <c r="U145" s="161" t="s">
        <v>1632</v>
      </c>
    </row>
    <row r="146" spans="20:21" ht="15.75" thickBot="1" x14ac:dyDescent="0.3">
      <c r="T146" s="161" t="s">
        <v>1633</v>
      </c>
      <c r="U146" s="161" t="s">
        <v>1633</v>
      </c>
    </row>
    <row r="147" spans="20:21" ht="15.75" thickBot="1" x14ac:dyDescent="0.3">
      <c r="T147" s="161" t="s">
        <v>1634</v>
      </c>
      <c r="U147" s="161" t="s">
        <v>1634</v>
      </c>
    </row>
    <row r="148" spans="20:21" ht="15.75" thickBot="1" x14ac:dyDescent="0.3">
      <c r="T148" s="161" t="s">
        <v>1635</v>
      </c>
      <c r="U148" s="161" t="s">
        <v>1635</v>
      </c>
    </row>
    <row r="149" spans="20:21" ht="15.75" thickBot="1" x14ac:dyDescent="0.3">
      <c r="T149" s="161" t="s">
        <v>1636</v>
      </c>
      <c r="U149" s="161" t="s">
        <v>1636</v>
      </c>
    </row>
    <row r="150" spans="20:21" ht="15.75" thickBot="1" x14ac:dyDescent="0.3">
      <c r="T150" s="161" t="s">
        <v>1637</v>
      </c>
      <c r="U150" s="161" t="s">
        <v>1637</v>
      </c>
    </row>
    <row r="151" spans="20:21" ht="15.75" thickBot="1" x14ac:dyDescent="0.3">
      <c r="T151" s="161" t="s">
        <v>1005</v>
      </c>
      <c r="U151" s="162" t="s">
        <v>1005</v>
      </c>
    </row>
    <row r="152" spans="20:21" ht="15.75" thickBot="1" x14ac:dyDescent="0.3">
      <c r="T152" s="161" t="s">
        <v>1006</v>
      </c>
      <c r="U152" s="162" t="s">
        <v>1006</v>
      </c>
    </row>
    <row r="153" spans="20:21" ht="15.75" thickBot="1" x14ac:dyDescent="0.3">
      <c r="T153" s="161" t="s">
        <v>1007</v>
      </c>
      <c r="U153" s="162" t="s">
        <v>1007</v>
      </c>
    </row>
    <row r="154" spans="20:21" ht="15.75" thickBot="1" x14ac:dyDescent="0.3">
      <c r="T154" s="161" t="s">
        <v>1010</v>
      </c>
      <c r="U154" s="162" t="s">
        <v>1010</v>
      </c>
    </row>
    <row r="155" spans="20:21" ht="15.75" thickBot="1" x14ac:dyDescent="0.3">
      <c r="T155" s="161" t="s">
        <v>1008</v>
      </c>
      <c r="U155" s="162" t="s">
        <v>1008</v>
      </c>
    </row>
    <row r="156" spans="20:21" ht="15.75" thickBot="1" x14ac:dyDescent="0.3">
      <c r="T156" s="161" t="s">
        <v>1009</v>
      </c>
      <c r="U156" s="162" t="s">
        <v>1009</v>
      </c>
    </row>
    <row r="157" spans="20:21" ht="15.75" thickBot="1" x14ac:dyDescent="0.3">
      <c r="T157" s="161" t="s">
        <v>1011</v>
      </c>
      <c r="U157" s="162" t="s">
        <v>1011</v>
      </c>
    </row>
    <row r="158" spans="20:21" ht="15.75" thickBot="1" x14ac:dyDescent="0.3">
      <c r="T158" s="161" t="s">
        <v>1012</v>
      </c>
      <c r="U158" s="162" t="s">
        <v>1012</v>
      </c>
    </row>
    <row r="159" spans="20:21" ht="15.75" thickBot="1" x14ac:dyDescent="0.3">
      <c r="T159" s="161" t="s">
        <v>1013</v>
      </c>
      <c r="U159" s="162" t="s">
        <v>1013</v>
      </c>
    </row>
    <row r="160" spans="20:21" ht="15.75" thickBot="1" x14ac:dyDescent="0.3">
      <c r="T160" s="161" t="s">
        <v>1014</v>
      </c>
      <c r="U160" s="162" t="s">
        <v>1014</v>
      </c>
    </row>
    <row r="161" spans="20:21" ht="15.75" thickBot="1" x14ac:dyDescent="0.3">
      <c r="T161" s="161" t="s">
        <v>1015</v>
      </c>
      <c r="U161" s="162" t="s">
        <v>1015</v>
      </c>
    </row>
    <row r="162" spans="20:21" ht="15.75" thickBot="1" x14ac:dyDescent="0.3">
      <c r="T162" s="161" t="s">
        <v>1016</v>
      </c>
      <c r="U162" s="162" t="s">
        <v>1016</v>
      </c>
    </row>
    <row r="163" spans="20:21" ht="15.75" thickBot="1" x14ac:dyDescent="0.3">
      <c r="T163" s="161" t="s">
        <v>1017</v>
      </c>
      <c r="U163" s="162" t="s">
        <v>1017</v>
      </c>
    </row>
    <row r="164" spans="20:21" ht="15.75" thickBot="1" x14ac:dyDescent="0.3">
      <c r="T164" s="161" t="s">
        <v>1018</v>
      </c>
      <c r="U164" s="162" t="s">
        <v>1018</v>
      </c>
    </row>
    <row r="165" spans="20:21" ht="15.75" thickBot="1" x14ac:dyDescent="0.3">
      <c r="T165" s="161" t="s">
        <v>1019</v>
      </c>
      <c r="U165" s="162" t="s">
        <v>1019</v>
      </c>
    </row>
    <row r="166" spans="20:21" ht="15.75" thickBot="1" x14ac:dyDescent="0.3">
      <c r="T166" s="161" t="s">
        <v>1020</v>
      </c>
      <c r="U166" s="162" t="s">
        <v>1020</v>
      </c>
    </row>
    <row r="167" spans="20:21" ht="15.75" thickBot="1" x14ac:dyDescent="0.3">
      <c r="T167" s="161" t="s">
        <v>1021</v>
      </c>
      <c r="U167" s="162" t="s">
        <v>1021</v>
      </c>
    </row>
    <row r="168" spans="20:21" ht="15.75" thickBot="1" x14ac:dyDescent="0.3">
      <c r="T168" s="161" t="s">
        <v>1022</v>
      </c>
      <c r="U168" s="162" t="s">
        <v>1022</v>
      </c>
    </row>
    <row r="169" spans="20:21" ht="15.75" thickBot="1" x14ac:dyDescent="0.3">
      <c r="T169" s="161" t="s">
        <v>1023</v>
      </c>
      <c r="U169" s="162" t="s">
        <v>1023</v>
      </c>
    </row>
    <row r="170" spans="20:21" ht="15.75" thickBot="1" x14ac:dyDescent="0.3">
      <c r="T170" s="161" t="s">
        <v>1024</v>
      </c>
      <c r="U170" s="162" t="s">
        <v>1024</v>
      </c>
    </row>
    <row r="171" spans="20:21" ht="15.75" thickBot="1" x14ac:dyDescent="0.3">
      <c r="T171" s="161" t="s">
        <v>1025</v>
      </c>
      <c r="U171" s="162" t="s">
        <v>1025</v>
      </c>
    </row>
    <row r="172" spans="20:21" ht="15.75" thickBot="1" x14ac:dyDescent="0.3">
      <c r="T172" s="161" t="s">
        <v>1026</v>
      </c>
      <c r="U172" s="162" t="s">
        <v>1026</v>
      </c>
    </row>
    <row r="173" spans="20:21" ht="15.75" thickBot="1" x14ac:dyDescent="0.3">
      <c r="T173" s="161" t="s">
        <v>1027</v>
      </c>
      <c r="U173" s="162" t="s">
        <v>1027</v>
      </c>
    </row>
    <row r="174" spans="20:21" ht="15.75" thickBot="1" x14ac:dyDescent="0.3">
      <c r="T174" s="161" t="s">
        <v>1028</v>
      </c>
      <c r="U174" s="162" t="s">
        <v>1028</v>
      </c>
    </row>
    <row r="175" spans="20:21" ht="15.75" thickBot="1" x14ac:dyDescent="0.3">
      <c r="T175" s="161" t="s">
        <v>1029</v>
      </c>
      <c r="U175" s="162" t="s">
        <v>1029</v>
      </c>
    </row>
    <row r="176" spans="20:21" ht="15.75" thickBot="1" x14ac:dyDescent="0.3">
      <c r="T176" s="161" t="s">
        <v>1030</v>
      </c>
      <c r="U176" s="162" t="s">
        <v>1030</v>
      </c>
    </row>
    <row r="177" spans="20:21" ht="15.75" thickBot="1" x14ac:dyDescent="0.3">
      <c r="T177" s="161" t="s">
        <v>1031</v>
      </c>
      <c r="U177" s="162" t="s">
        <v>1031</v>
      </c>
    </row>
    <row r="178" spans="20:21" ht="15.75" thickBot="1" x14ac:dyDescent="0.3">
      <c r="T178" s="161" t="s">
        <v>1638</v>
      </c>
      <c r="U178" s="161" t="s">
        <v>1638</v>
      </c>
    </row>
    <row r="179" spans="20:21" ht="15.75" thickBot="1" x14ac:dyDescent="0.3">
      <c r="T179" s="161" t="s">
        <v>1639</v>
      </c>
      <c r="U179" s="161" t="s">
        <v>1640</v>
      </c>
    </row>
    <row r="180" spans="20:21" ht="15.75" thickBot="1" x14ac:dyDescent="0.3">
      <c r="T180" s="161" t="s">
        <v>1641</v>
      </c>
      <c r="U180" s="161" t="s">
        <v>1642</v>
      </c>
    </row>
    <row r="181" spans="20:21" ht="15.75" thickBot="1" x14ac:dyDescent="0.3">
      <c r="T181" s="161" t="s">
        <v>1643</v>
      </c>
      <c r="U181" s="161" t="s">
        <v>1644</v>
      </c>
    </row>
    <row r="182" spans="20:21" ht="15.75" thickBot="1" x14ac:dyDescent="0.3">
      <c r="T182" s="161" t="s">
        <v>1645</v>
      </c>
      <c r="U182" s="161" t="s">
        <v>1646</v>
      </c>
    </row>
    <row r="183" spans="20:21" ht="15.75" thickBot="1" x14ac:dyDescent="0.3">
      <c r="T183" s="161" t="s">
        <v>1647</v>
      </c>
      <c r="U183" s="161" t="s">
        <v>1648</v>
      </c>
    </row>
    <row r="184" spans="20:21" ht="15.75" thickBot="1" x14ac:dyDescent="0.3">
      <c r="T184" s="161" t="s">
        <v>1649</v>
      </c>
      <c r="U184" s="161" t="s">
        <v>1650</v>
      </c>
    </row>
    <row r="185" spans="20:21" ht="15.75" thickBot="1" x14ac:dyDescent="0.3">
      <c r="T185" s="161" t="s">
        <v>1651</v>
      </c>
      <c r="U185" s="161" t="s">
        <v>1652</v>
      </c>
    </row>
    <row r="186" spans="20:21" ht="15.75" thickBot="1" x14ac:dyDescent="0.3">
      <c r="T186" s="161" t="s">
        <v>1653</v>
      </c>
      <c r="U186" s="161" t="s">
        <v>1654</v>
      </c>
    </row>
    <row r="187" spans="20:21" ht="15.75" thickBot="1" x14ac:dyDescent="0.3">
      <c r="T187" s="161" t="s">
        <v>1655</v>
      </c>
      <c r="U187" s="161" t="s">
        <v>1655</v>
      </c>
    </row>
    <row r="188" spans="20:21" ht="15.75" thickBot="1" x14ac:dyDescent="0.3">
      <c r="T188" s="161" t="s">
        <v>1656</v>
      </c>
      <c r="U188" s="161" t="s">
        <v>1657</v>
      </c>
    </row>
    <row r="189" spans="20:21" ht="15.75" thickBot="1" x14ac:dyDescent="0.3">
      <c r="T189" s="161" t="s">
        <v>1658</v>
      </c>
      <c r="U189" s="161" t="s">
        <v>1659</v>
      </c>
    </row>
    <row r="190" spans="20:21" ht="15.75" thickBot="1" x14ac:dyDescent="0.3">
      <c r="T190" s="161" t="s">
        <v>1660</v>
      </c>
      <c r="U190" s="161" t="s">
        <v>1661</v>
      </c>
    </row>
    <row r="191" spans="20:21" ht="15.75" thickBot="1" x14ac:dyDescent="0.3">
      <c r="T191" s="161" t="s">
        <v>1662</v>
      </c>
      <c r="U191" s="161" t="s">
        <v>1663</v>
      </c>
    </row>
    <row r="192" spans="20:21" ht="15.75" thickBot="1" x14ac:dyDescent="0.3">
      <c r="T192" s="161" t="s">
        <v>1664</v>
      </c>
      <c r="U192" s="161" t="s">
        <v>1665</v>
      </c>
    </row>
    <row r="193" spans="20:21" ht="15.75" thickBot="1" x14ac:dyDescent="0.3">
      <c r="T193" s="161" t="s">
        <v>1666</v>
      </c>
      <c r="U193" s="161" t="s">
        <v>1666</v>
      </c>
    </row>
    <row r="194" spans="20:21" ht="15.75" thickBot="1" x14ac:dyDescent="0.3">
      <c r="T194" s="161" t="s">
        <v>1667</v>
      </c>
      <c r="U194" s="161" t="s">
        <v>1667</v>
      </c>
    </row>
    <row r="195" spans="20:21" ht="15.75" thickBot="1" x14ac:dyDescent="0.3">
      <c r="T195" s="161" t="s">
        <v>1668</v>
      </c>
      <c r="U195" s="161" t="s">
        <v>1668</v>
      </c>
    </row>
    <row r="196" spans="20:21" ht="15.75" thickBot="1" x14ac:dyDescent="0.3">
      <c r="T196" s="161" t="s">
        <v>1669</v>
      </c>
      <c r="U196" s="161" t="s">
        <v>1669</v>
      </c>
    </row>
    <row r="197" spans="20:21" ht="15.75" thickBot="1" x14ac:dyDescent="0.3">
      <c r="T197" s="161" t="s">
        <v>1670</v>
      </c>
      <c r="U197" s="161" t="s">
        <v>1670</v>
      </c>
    </row>
    <row r="198" spans="20:21" ht="15.75" thickBot="1" x14ac:dyDescent="0.3">
      <c r="T198" s="161" t="s">
        <v>1671</v>
      </c>
      <c r="U198" s="161" t="s">
        <v>1671</v>
      </c>
    </row>
    <row r="199" spans="20:21" ht="15.75" thickBot="1" x14ac:dyDescent="0.3">
      <c r="T199" s="161" t="s">
        <v>1672</v>
      </c>
      <c r="U199" s="161" t="s">
        <v>1672</v>
      </c>
    </row>
    <row r="200" spans="20:21" ht="15.75" thickBot="1" x14ac:dyDescent="0.3">
      <c r="T200" s="161" t="s">
        <v>1673</v>
      </c>
      <c r="U200" s="161" t="s">
        <v>1673</v>
      </c>
    </row>
    <row r="201" spans="20:21" ht="15.75" thickBot="1" x14ac:dyDescent="0.3">
      <c r="T201" s="161" t="s">
        <v>1674</v>
      </c>
      <c r="U201" s="161" t="s">
        <v>1675</v>
      </c>
    </row>
    <row r="202" spans="20:21" ht="15.75" thickBot="1" x14ac:dyDescent="0.3">
      <c r="T202" s="161" t="s">
        <v>1676</v>
      </c>
      <c r="U202" s="161" t="s">
        <v>1677</v>
      </c>
    </row>
    <row r="203" spans="20:21" ht="15.75" thickBot="1" x14ac:dyDescent="0.3">
      <c r="T203" s="161" t="s">
        <v>1678</v>
      </c>
      <c r="U203" s="161" t="s">
        <v>1679</v>
      </c>
    </row>
    <row r="204" spans="20:21" ht="15.75" thickBot="1" x14ac:dyDescent="0.3">
      <c r="T204" s="161" t="s">
        <v>1680</v>
      </c>
      <c r="U204" s="161" t="s">
        <v>1681</v>
      </c>
    </row>
    <row r="205" spans="20:21" ht="15.75" thickBot="1" x14ac:dyDescent="0.3">
      <c r="T205" s="161" t="s">
        <v>1682</v>
      </c>
      <c r="U205" s="161" t="s">
        <v>1683</v>
      </c>
    </row>
    <row r="206" spans="20:21" ht="15.75" thickBot="1" x14ac:dyDescent="0.3">
      <c r="T206" s="161" t="s">
        <v>1684</v>
      </c>
      <c r="U206" s="161" t="s">
        <v>1685</v>
      </c>
    </row>
    <row r="207" spans="20:21" ht="15.75" thickBot="1" x14ac:dyDescent="0.3">
      <c r="T207" s="161" t="s">
        <v>1686</v>
      </c>
      <c r="U207" s="161" t="s">
        <v>1686</v>
      </c>
    </row>
    <row r="208" spans="20:21" ht="15.75" thickBot="1" x14ac:dyDescent="0.3">
      <c r="T208" s="161" t="s">
        <v>1687</v>
      </c>
      <c r="U208" s="161" t="s">
        <v>1688</v>
      </c>
    </row>
    <row r="209" spans="20:21" ht="15.75" thickBot="1" x14ac:dyDescent="0.3">
      <c r="T209" s="161" t="s">
        <v>1689</v>
      </c>
      <c r="U209" s="161" t="s">
        <v>1690</v>
      </c>
    </row>
    <row r="210" spans="20:21" ht="15.75" thickBot="1" x14ac:dyDescent="0.3">
      <c r="T210" s="161" t="s">
        <v>1691</v>
      </c>
      <c r="U210" s="161" t="s">
        <v>1692</v>
      </c>
    </row>
    <row r="211" spans="20:21" ht="15.75" thickBot="1" x14ac:dyDescent="0.3">
      <c r="T211" s="161" t="s">
        <v>1693</v>
      </c>
      <c r="U211" s="161" t="s">
        <v>1693</v>
      </c>
    </row>
    <row r="212" spans="20:21" ht="15.75" thickBot="1" x14ac:dyDescent="0.3">
      <c r="T212" s="161" t="s">
        <v>1694</v>
      </c>
      <c r="U212" s="161" t="s">
        <v>1694</v>
      </c>
    </row>
    <row r="213" spans="20:21" ht="15.75" thickBot="1" x14ac:dyDescent="0.3">
      <c r="T213" s="161" t="s">
        <v>1695</v>
      </c>
      <c r="U213" s="161" t="s">
        <v>1695</v>
      </c>
    </row>
    <row r="214" spans="20:21" ht="15.75" thickBot="1" x14ac:dyDescent="0.3">
      <c r="T214" s="161" t="s">
        <v>1696</v>
      </c>
      <c r="U214" s="161" t="s">
        <v>1696</v>
      </c>
    </row>
    <row r="215" spans="20:21" ht="15.75" thickBot="1" x14ac:dyDescent="0.3">
      <c r="T215" s="161" t="s">
        <v>1697</v>
      </c>
      <c r="U215" s="161" t="s">
        <v>1697</v>
      </c>
    </row>
    <row r="216" spans="20:21" ht="15.75" thickBot="1" x14ac:dyDescent="0.3">
      <c r="T216" s="161" t="s">
        <v>1698</v>
      </c>
      <c r="U216" s="161" t="s">
        <v>1698</v>
      </c>
    </row>
    <row r="217" spans="20:21" ht="15.75" thickBot="1" x14ac:dyDescent="0.3">
      <c r="T217" s="161" t="s">
        <v>1699</v>
      </c>
      <c r="U217" s="161" t="s">
        <v>1699</v>
      </c>
    </row>
    <row r="218" spans="20:21" ht="15.75" thickBot="1" x14ac:dyDescent="0.3">
      <c r="T218" s="161" t="s">
        <v>1700</v>
      </c>
      <c r="U218" s="161" t="s">
        <v>1700</v>
      </c>
    </row>
    <row r="219" spans="20:21" ht="15.75" thickBot="1" x14ac:dyDescent="0.3">
      <c r="T219" s="161" t="s">
        <v>1701</v>
      </c>
      <c r="U219" s="161" t="s">
        <v>1701</v>
      </c>
    </row>
    <row r="220" spans="20:21" ht="15.75" thickBot="1" x14ac:dyDescent="0.3">
      <c r="T220" s="161" t="s">
        <v>1702</v>
      </c>
      <c r="U220" s="161" t="s">
        <v>1702</v>
      </c>
    </row>
    <row r="221" spans="20:21" ht="15.75" thickBot="1" x14ac:dyDescent="0.3">
      <c r="T221" s="161" t="s">
        <v>1703</v>
      </c>
      <c r="U221" s="161" t="s">
        <v>1703</v>
      </c>
    </row>
    <row r="222" spans="20:21" ht="15.75" thickBot="1" x14ac:dyDescent="0.3">
      <c r="T222" s="161" t="s">
        <v>1704</v>
      </c>
      <c r="U222" s="161" t="s">
        <v>1704</v>
      </c>
    </row>
    <row r="223" spans="20:21" ht="15.75" thickBot="1" x14ac:dyDescent="0.3">
      <c r="T223" s="161" t="s">
        <v>1705</v>
      </c>
      <c r="U223" s="161" t="s">
        <v>1705</v>
      </c>
    </row>
    <row r="224" spans="20:21" ht="15.75" thickBot="1" x14ac:dyDescent="0.3">
      <c r="T224" s="161" t="s">
        <v>1032</v>
      </c>
      <c r="U224" s="162" t="s">
        <v>1032</v>
      </c>
    </row>
    <row r="225" spans="20:21" ht="15.75" thickBot="1" x14ac:dyDescent="0.3">
      <c r="T225" s="161" t="s">
        <v>1033</v>
      </c>
      <c r="U225" s="162" t="s">
        <v>1033</v>
      </c>
    </row>
    <row r="226" spans="20:21" ht="15.75" thickBot="1" x14ac:dyDescent="0.3">
      <c r="T226" s="161" t="s">
        <v>1034</v>
      </c>
      <c r="U226" s="162" t="s">
        <v>1034</v>
      </c>
    </row>
    <row r="227" spans="20:21" ht="15.75" thickBot="1" x14ac:dyDescent="0.3">
      <c r="T227" s="161" t="s">
        <v>1035</v>
      </c>
      <c r="U227" s="162" t="s">
        <v>1035</v>
      </c>
    </row>
    <row r="228" spans="20:21" ht="15.75" thickBot="1" x14ac:dyDescent="0.3">
      <c r="T228" s="161" t="s">
        <v>1036</v>
      </c>
      <c r="U228" s="162" t="s">
        <v>1036</v>
      </c>
    </row>
    <row r="229" spans="20:21" ht="15.75" thickBot="1" x14ac:dyDescent="0.3">
      <c r="T229" s="161" t="s">
        <v>1037</v>
      </c>
      <c r="U229" s="162" t="s">
        <v>1037</v>
      </c>
    </row>
    <row r="230" spans="20:21" ht="15.75" thickBot="1" x14ac:dyDescent="0.3">
      <c r="T230" s="161" t="s">
        <v>1038</v>
      </c>
      <c r="U230" s="162" t="s">
        <v>1038</v>
      </c>
    </row>
    <row r="231" spans="20:21" ht="15.75" thickBot="1" x14ac:dyDescent="0.3">
      <c r="T231" s="161" t="s">
        <v>1039</v>
      </c>
      <c r="U231" s="162" t="s">
        <v>1039</v>
      </c>
    </row>
    <row r="232" spans="20:21" ht="15.75" thickBot="1" x14ac:dyDescent="0.3">
      <c r="T232" s="161" t="s">
        <v>1040</v>
      </c>
      <c r="U232" s="162" t="s">
        <v>1040</v>
      </c>
    </row>
    <row r="233" spans="20:21" ht="15.75" thickBot="1" x14ac:dyDescent="0.3">
      <c r="T233" s="161" t="s">
        <v>1041</v>
      </c>
      <c r="U233" s="162" t="s">
        <v>1041</v>
      </c>
    </row>
    <row r="234" spans="20:21" ht="15.75" thickBot="1" x14ac:dyDescent="0.3">
      <c r="T234" s="161" t="s">
        <v>1042</v>
      </c>
      <c r="U234" s="162" t="s">
        <v>1042</v>
      </c>
    </row>
    <row r="235" spans="20:21" ht="15.75" thickBot="1" x14ac:dyDescent="0.3">
      <c r="T235" s="161" t="s">
        <v>1043</v>
      </c>
      <c r="U235" s="162" t="s">
        <v>1043</v>
      </c>
    </row>
    <row r="236" spans="20:21" ht="15.75" thickBot="1" x14ac:dyDescent="0.3">
      <c r="T236" s="161" t="s">
        <v>1044</v>
      </c>
      <c r="U236" s="162" t="s">
        <v>1044</v>
      </c>
    </row>
    <row r="237" spans="20:21" ht="15.75" thickBot="1" x14ac:dyDescent="0.3">
      <c r="T237" s="161" t="s">
        <v>1045</v>
      </c>
      <c r="U237" s="162" t="s">
        <v>1045</v>
      </c>
    </row>
    <row r="238" spans="20:21" ht="15.75" thickBot="1" x14ac:dyDescent="0.3">
      <c r="T238" s="161" t="s">
        <v>1046</v>
      </c>
      <c r="U238" s="162" t="s">
        <v>1046</v>
      </c>
    </row>
    <row r="239" spans="20:21" ht="15.75" thickBot="1" x14ac:dyDescent="0.3">
      <c r="T239" s="161" t="s">
        <v>1047</v>
      </c>
      <c r="U239" s="162" t="s">
        <v>1047</v>
      </c>
    </row>
    <row r="240" spans="20:21" ht="15.75" thickBot="1" x14ac:dyDescent="0.3">
      <c r="T240" s="161" t="s">
        <v>1048</v>
      </c>
      <c r="U240" s="162" t="s">
        <v>1048</v>
      </c>
    </row>
    <row r="241" spans="20:21" ht="15.75" thickBot="1" x14ac:dyDescent="0.3">
      <c r="T241" s="161" t="s">
        <v>1049</v>
      </c>
      <c r="U241" s="162" t="s">
        <v>1049</v>
      </c>
    </row>
    <row r="242" spans="20:21" ht="15.75" thickBot="1" x14ac:dyDescent="0.3">
      <c r="T242" s="161" t="s">
        <v>1050</v>
      </c>
      <c r="U242" s="162" t="s">
        <v>1050</v>
      </c>
    </row>
    <row r="243" spans="20:21" ht="15.75" thickBot="1" x14ac:dyDescent="0.3">
      <c r="T243" s="161" t="s">
        <v>1051</v>
      </c>
      <c r="U243" s="162" t="s">
        <v>1051</v>
      </c>
    </row>
    <row r="244" spans="20:21" ht="15.75" thickBot="1" x14ac:dyDescent="0.3">
      <c r="T244" s="161" t="s">
        <v>1052</v>
      </c>
      <c r="U244" s="162" t="s">
        <v>1052</v>
      </c>
    </row>
    <row r="245" spans="20:21" ht="15.75" thickBot="1" x14ac:dyDescent="0.3">
      <c r="T245" s="161" t="s">
        <v>1053</v>
      </c>
      <c r="U245" s="162" t="s">
        <v>1053</v>
      </c>
    </row>
    <row r="246" spans="20:21" ht="15.75" thickBot="1" x14ac:dyDescent="0.3">
      <c r="T246" s="161" t="s">
        <v>1054</v>
      </c>
      <c r="U246" s="162" t="s">
        <v>1054</v>
      </c>
    </row>
    <row r="247" spans="20:21" ht="15.75" thickBot="1" x14ac:dyDescent="0.3">
      <c r="T247" s="161" t="s">
        <v>1055</v>
      </c>
      <c r="U247" s="162" t="s">
        <v>1055</v>
      </c>
    </row>
    <row r="248" spans="20:21" ht="15.75" thickBot="1" x14ac:dyDescent="0.3">
      <c r="T248" s="161" t="s">
        <v>1056</v>
      </c>
      <c r="U248" s="162" t="s">
        <v>1056</v>
      </c>
    </row>
    <row r="249" spans="20:21" ht="15.75" thickBot="1" x14ac:dyDescent="0.3">
      <c r="T249" s="161" t="s">
        <v>1057</v>
      </c>
      <c r="U249" s="162" t="s">
        <v>1057</v>
      </c>
    </row>
    <row r="250" spans="20:21" ht="15.75" thickBot="1" x14ac:dyDescent="0.3">
      <c r="T250" s="161" t="s">
        <v>1058</v>
      </c>
      <c r="U250" s="162" t="s">
        <v>1058</v>
      </c>
    </row>
    <row r="251" spans="20:21" ht="15.75" thickBot="1" x14ac:dyDescent="0.3">
      <c r="T251" s="161" t="s">
        <v>1059</v>
      </c>
      <c r="U251" s="162" t="s">
        <v>1059</v>
      </c>
    </row>
    <row r="252" spans="20:21" ht="15.75" thickBot="1" x14ac:dyDescent="0.3">
      <c r="T252" s="161" t="s">
        <v>1060</v>
      </c>
      <c r="U252" s="162" t="s">
        <v>1060</v>
      </c>
    </row>
    <row r="253" spans="20:21" ht="15.75" thickBot="1" x14ac:dyDescent="0.3">
      <c r="T253" s="161" t="s">
        <v>1065</v>
      </c>
      <c r="U253" s="162" t="s">
        <v>1065</v>
      </c>
    </row>
    <row r="254" spans="20:21" ht="15.75" thickBot="1" x14ac:dyDescent="0.3">
      <c r="T254" s="161" t="s">
        <v>1061</v>
      </c>
      <c r="U254" s="162" t="s">
        <v>1061</v>
      </c>
    </row>
    <row r="255" spans="20:21" ht="15.75" thickBot="1" x14ac:dyDescent="0.3">
      <c r="T255" s="161" t="s">
        <v>1062</v>
      </c>
      <c r="U255" s="162" t="s">
        <v>1062</v>
      </c>
    </row>
    <row r="256" spans="20:21" ht="15.75" thickBot="1" x14ac:dyDescent="0.3">
      <c r="T256" s="161" t="s">
        <v>1063</v>
      </c>
      <c r="U256" s="162" t="s">
        <v>1063</v>
      </c>
    </row>
    <row r="257" spans="20:21" ht="15.75" thickBot="1" x14ac:dyDescent="0.3">
      <c r="T257" s="161" t="s">
        <v>1064</v>
      </c>
      <c r="U257" s="162" t="s">
        <v>1064</v>
      </c>
    </row>
    <row r="258" spans="20:21" ht="15.75" thickBot="1" x14ac:dyDescent="0.3">
      <c r="T258" s="161" t="s">
        <v>1066</v>
      </c>
      <c r="U258" s="162" t="s">
        <v>1066</v>
      </c>
    </row>
    <row r="259" spans="20:21" ht="15.75" thickBot="1" x14ac:dyDescent="0.3">
      <c r="T259" s="161" t="s">
        <v>1067</v>
      </c>
      <c r="U259" s="162" t="s">
        <v>1067</v>
      </c>
    </row>
    <row r="260" spans="20:21" ht="15.75" thickBot="1" x14ac:dyDescent="0.3">
      <c r="T260" s="161" t="s">
        <v>1068</v>
      </c>
      <c r="U260" s="162" t="s">
        <v>1068</v>
      </c>
    </row>
    <row r="261" spans="20:21" ht="15.75" thickBot="1" x14ac:dyDescent="0.3">
      <c r="T261" s="161" t="s">
        <v>1069</v>
      </c>
      <c r="U261" s="162" t="s">
        <v>1069</v>
      </c>
    </row>
    <row r="262" spans="20:21" ht="15.75" thickBot="1" x14ac:dyDescent="0.3">
      <c r="T262" s="161" t="s">
        <v>1070</v>
      </c>
      <c r="U262" s="162" t="s">
        <v>1070</v>
      </c>
    </row>
    <row r="263" spans="20:21" ht="15.75" thickBot="1" x14ac:dyDescent="0.3">
      <c r="T263" s="161" t="s">
        <v>1706</v>
      </c>
      <c r="U263" s="161" t="s">
        <v>1706</v>
      </c>
    </row>
    <row r="264" spans="20:21" ht="15.75" thickBot="1" x14ac:dyDescent="0.3">
      <c r="T264" s="161" t="s">
        <v>1707</v>
      </c>
      <c r="U264" s="161" t="s">
        <v>1707</v>
      </c>
    </row>
    <row r="265" spans="20:21" ht="15.75" thickBot="1" x14ac:dyDescent="0.3">
      <c r="T265" s="161" t="s">
        <v>1708</v>
      </c>
      <c r="U265" s="161" t="s">
        <v>1708</v>
      </c>
    </row>
    <row r="266" spans="20:21" ht="15.75" thickBot="1" x14ac:dyDescent="0.3">
      <c r="T266" s="161" t="s">
        <v>1709</v>
      </c>
      <c r="U266" s="161" t="s">
        <v>1709</v>
      </c>
    </row>
    <row r="267" spans="20:21" ht="15.75" thickBot="1" x14ac:dyDescent="0.3">
      <c r="T267" s="161" t="s">
        <v>1710</v>
      </c>
      <c r="U267" s="161" t="s">
        <v>1710</v>
      </c>
    </row>
    <row r="268" spans="20:21" ht="15.75" thickBot="1" x14ac:dyDescent="0.3">
      <c r="T268" s="161" t="s">
        <v>1711</v>
      </c>
      <c r="U268" s="161" t="s">
        <v>1711</v>
      </c>
    </row>
    <row r="269" spans="20:21" ht="15.75" thickBot="1" x14ac:dyDescent="0.3">
      <c r="T269" s="161" t="s">
        <v>1712</v>
      </c>
      <c r="U269" s="161" t="s">
        <v>1712</v>
      </c>
    </row>
    <row r="270" spans="20:21" ht="15.75" thickBot="1" x14ac:dyDescent="0.3">
      <c r="T270" s="161" t="s">
        <v>1713</v>
      </c>
      <c r="U270" s="161" t="s">
        <v>1713</v>
      </c>
    </row>
    <row r="271" spans="20:21" ht="15.75" thickBot="1" x14ac:dyDescent="0.3">
      <c r="T271" s="161" t="s">
        <v>1714</v>
      </c>
      <c r="U271" s="161" t="s">
        <v>1714</v>
      </c>
    </row>
    <row r="272" spans="20:21" ht="15.75" thickBot="1" x14ac:dyDescent="0.3">
      <c r="T272" s="161" t="s">
        <v>1715</v>
      </c>
      <c r="U272" s="161" t="s">
        <v>1715</v>
      </c>
    </row>
    <row r="273" spans="20:21" ht="15.75" thickBot="1" x14ac:dyDescent="0.3">
      <c r="T273" s="161" t="s">
        <v>1716</v>
      </c>
      <c r="U273" s="161" t="s">
        <v>1716</v>
      </c>
    </row>
    <row r="274" spans="20:21" ht="15.75" thickBot="1" x14ac:dyDescent="0.3">
      <c r="T274" s="161" t="s">
        <v>1717</v>
      </c>
      <c r="U274" s="161" t="s">
        <v>1717</v>
      </c>
    </row>
    <row r="275" spans="20:21" ht="15.75" thickBot="1" x14ac:dyDescent="0.3">
      <c r="T275" s="161" t="s">
        <v>1099</v>
      </c>
      <c r="U275" s="162" t="s">
        <v>1099</v>
      </c>
    </row>
    <row r="276" spans="20:21" ht="15.75" thickBot="1" x14ac:dyDescent="0.3">
      <c r="T276" s="161" t="s">
        <v>1100</v>
      </c>
      <c r="U276" s="162" t="s">
        <v>1100</v>
      </c>
    </row>
    <row r="277" spans="20:21" ht="15.75" thickBot="1" x14ac:dyDescent="0.3">
      <c r="T277" s="161" t="s">
        <v>1101</v>
      </c>
      <c r="U277" s="162" t="s">
        <v>1101</v>
      </c>
    </row>
    <row r="278" spans="20:21" ht="15.75" thickBot="1" x14ac:dyDescent="0.3">
      <c r="T278" s="161" t="s">
        <v>1102</v>
      </c>
      <c r="U278" s="162" t="s">
        <v>1102</v>
      </c>
    </row>
    <row r="279" spans="20:21" ht="15.75" thickBot="1" x14ac:dyDescent="0.3">
      <c r="T279" s="161" t="s">
        <v>1103</v>
      </c>
      <c r="U279" s="162" t="s">
        <v>1103</v>
      </c>
    </row>
    <row r="280" spans="20:21" ht="15.75" thickBot="1" x14ac:dyDescent="0.3">
      <c r="T280" s="161" t="s">
        <v>942</v>
      </c>
      <c r="U280" s="162" t="s">
        <v>942</v>
      </c>
    </row>
    <row r="281" spans="20:21" ht="15.75" thickBot="1" x14ac:dyDescent="0.3">
      <c r="T281" s="161" t="s">
        <v>943</v>
      </c>
      <c r="U281" s="162" t="s">
        <v>943</v>
      </c>
    </row>
    <row r="282" spans="20:21" ht="15.75" thickBot="1" x14ac:dyDescent="0.3">
      <c r="T282" s="161" t="s">
        <v>1104</v>
      </c>
      <c r="U282" s="162" t="s">
        <v>1104</v>
      </c>
    </row>
    <row r="283" spans="20:21" ht="15.75" thickBot="1" x14ac:dyDescent="0.3">
      <c r="T283" s="161" t="s">
        <v>944</v>
      </c>
      <c r="U283" s="162" t="s">
        <v>944</v>
      </c>
    </row>
    <row r="284" spans="20:21" ht="15.75" thickBot="1" x14ac:dyDescent="0.3">
      <c r="T284" s="161" t="s">
        <v>1105</v>
      </c>
      <c r="U284" s="162" t="s">
        <v>1105</v>
      </c>
    </row>
    <row r="285" spans="20:21" ht="15.75" thickBot="1" x14ac:dyDescent="0.3">
      <c r="T285" s="161" t="s">
        <v>1106</v>
      </c>
      <c r="U285" s="162" t="s">
        <v>1106</v>
      </c>
    </row>
    <row r="286" spans="20:21" ht="15.75" thickBot="1" x14ac:dyDescent="0.3">
      <c r="T286" s="161" t="s">
        <v>1107</v>
      </c>
      <c r="U286" s="162" t="s">
        <v>1107</v>
      </c>
    </row>
    <row r="287" spans="20:21" ht="15.75" thickBot="1" x14ac:dyDescent="0.3">
      <c r="T287" s="161" t="s">
        <v>1718</v>
      </c>
      <c r="U287" s="161" t="s">
        <v>1718</v>
      </c>
    </row>
    <row r="288" spans="20:21" ht="15.75" thickBot="1" x14ac:dyDescent="0.3">
      <c r="T288" s="161" t="s">
        <v>1719</v>
      </c>
      <c r="U288" s="161" t="s">
        <v>1719</v>
      </c>
    </row>
    <row r="289" spans="20:21" ht="15.75" thickBot="1" x14ac:dyDescent="0.3">
      <c r="T289" s="161" t="s">
        <v>1720</v>
      </c>
      <c r="U289" s="161" t="s">
        <v>1720</v>
      </c>
    </row>
    <row r="290" spans="20:21" ht="15.75" thickBot="1" x14ac:dyDescent="0.3">
      <c r="T290" s="161" t="s">
        <v>1721</v>
      </c>
      <c r="U290" s="161" t="s">
        <v>1721</v>
      </c>
    </row>
    <row r="291" spans="20:21" ht="15.75" thickBot="1" x14ac:dyDescent="0.3">
      <c r="T291" s="161" t="s">
        <v>1722</v>
      </c>
      <c r="U291" s="161" t="s">
        <v>1722</v>
      </c>
    </row>
    <row r="292" spans="20:21" ht="15.75" thickBot="1" x14ac:dyDescent="0.3">
      <c r="T292" s="161" t="s">
        <v>1723</v>
      </c>
      <c r="U292" s="161" t="s">
        <v>1723</v>
      </c>
    </row>
    <row r="293" spans="20:21" ht="15.75" thickBot="1" x14ac:dyDescent="0.3">
      <c r="T293" s="161" t="s">
        <v>1724</v>
      </c>
      <c r="U293" s="161" t="s">
        <v>1724</v>
      </c>
    </row>
    <row r="294" spans="20:21" ht="15.75" thickBot="1" x14ac:dyDescent="0.3">
      <c r="T294" s="161" t="s">
        <v>1725</v>
      </c>
      <c r="U294" s="161" t="s">
        <v>1725</v>
      </c>
    </row>
    <row r="295" spans="20:21" ht="15.75" thickBot="1" x14ac:dyDescent="0.3">
      <c r="T295" s="161" t="s">
        <v>1726</v>
      </c>
      <c r="U295" s="161" t="s">
        <v>1726</v>
      </c>
    </row>
    <row r="296" spans="20:21" ht="15.75" thickBot="1" x14ac:dyDescent="0.3">
      <c r="T296" s="161" t="s">
        <v>1727</v>
      </c>
      <c r="U296" s="161" t="s">
        <v>1727</v>
      </c>
    </row>
    <row r="297" spans="20:21" ht="15.75" thickBot="1" x14ac:dyDescent="0.3">
      <c r="T297" s="161" t="s">
        <v>1728</v>
      </c>
      <c r="U297" s="161" t="s">
        <v>1729</v>
      </c>
    </row>
    <row r="298" spans="20:21" ht="15.75" thickBot="1" x14ac:dyDescent="0.3">
      <c r="T298" s="161" t="s">
        <v>1730</v>
      </c>
      <c r="U298" s="161" t="s">
        <v>1730</v>
      </c>
    </row>
    <row r="299" spans="20:21" ht="15.75" thickBot="1" x14ac:dyDescent="0.3">
      <c r="T299" s="161" t="s">
        <v>1731</v>
      </c>
      <c r="U299" s="161" t="s">
        <v>1731</v>
      </c>
    </row>
    <row r="300" spans="20:21" ht="15.75" thickBot="1" x14ac:dyDescent="0.3">
      <c r="T300" s="161" t="s">
        <v>1732</v>
      </c>
      <c r="U300" s="161" t="s">
        <v>1732</v>
      </c>
    </row>
    <row r="301" spans="20:21" ht="15.75" thickBot="1" x14ac:dyDescent="0.3">
      <c r="T301" s="161" t="s">
        <v>1733</v>
      </c>
      <c r="U301" s="161" t="s">
        <v>1733</v>
      </c>
    </row>
    <row r="302" spans="20:21" ht="15.75" thickBot="1" x14ac:dyDescent="0.3">
      <c r="T302" s="161" t="s">
        <v>1734</v>
      </c>
      <c r="U302" s="161" t="s">
        <v>1734</v>
      </c>
    </row>
    <row r="303" spans="20:21" ht="15.75" thickBot="1" x14ac:dyDescent="0.3">
      <c r="T303" s="161" t="s">
        <v>1735</v>
      </c>
      <c r="U303" s="161" t="s">
        <v>1735</v>
      </c>
    </row>
    <row r="304" spans="20:21" ht="15.75" thickBot="1" x14ac:dyDescent="0.3">
      <c r="T304" s="161" t="s">
        <v>1736</v>
      </c>
      <c r="U304" s="161" t="s">
        <v>1736</v>
      </c>
    </row>
    <row r="305" spans="20:21" ht="15.75" thickBot="1" x14ac:dyDescent="0.3">
      <c r="T305" s="161" t="s">
        <v>1737</v>
      </c>
      <c r="U305" s="161" t="s">
        <v>1737</v>
      </c>
    </row>
    <row r="306" spans="20:21" ht="15.75" thickBot="1" x14ac:dyDescent="0.3">
      <c r="T306" s="161" t="s">
        <v>1071</v>
      </c>
      <c r="U306" s="162" t="s">
        <v>1071</v>
      </c>
    </row>
    <row r="307" spans="20:21" ht="15.75" thickBot="1" x14ac:dyDescent="0.3">
      <c r="T307" s="161" t="s">
        <v>1072</v>
      </c>
      <c r="U307" s="162" t="s">
        <v>1072</v>
      </c>
    </row>
    <row r="308" spans="20:21" ht="15.75" thickBot="1" x14ac:dyDescent="0.3">
      <c r="T308" s="161" t="s">
        <v>1073</v>
      </c>
      <c r="U308" s="162" t="s">
        <v>1073</v>
      </c>
    </row>
    <row r="309" spans="20:21" ht="15.75" thickBot="1" x14ac:dyDescent="0.3">
      <c r="T309" s="161" t="s">
        <v>1108</v>
      </c>
      <c r="U309" s="162" t="s">
        <v>1108</v>
      </c>
    </row>
    <row r="310" spans="20:21" ht="15.75" thickBot="1" x14ac:dyDescent="0.3">
      <c r="T310" s="161" t="s">
        <v>1074</v>
      </c>
      <c r="U310" s="162" t="s">
        <v>1074</v>
      </c>
    </row>
    <row r="311" spans="20:21" ht="15.75" thickBot="1" x14ac:dyDescent="0.3">
      <c r="T311" s="161" t="s">
        <v>1109</v>
      </c>
      <c r="U311" s="162" t="s">
        <v>1109</v>
      </c>
    </row>
    <row r="312" spans="20:21" ht="15.75" thickBot="1" x14ac:dyDescent="0.3">
      <c r="T312" s="161" t="s">
        <v>1110</v>
      </c>
      <c r="U312" s="162" t="s">
        <v>1110</v>
      </c>
    </row>
    <row r="313" spans="20:21" ht="15.75" thickBot="1" x14ac:dyDescent="0.3">
      <c r="T313" s="161" t="s">
        <v>1738</v>
      </c>
      <c r="U313" s="161" t="s">
        <v>1738</v>
      </c>
    </row>
    <row r="314" spans="20:21" ht="15.75" thickBot="1" x14ac:dyDescent="0.3">
      <c r="T314" s="161" t="s">
        <v>1739</v>
      </c>
      <c r="U314" s="161" t="s">
        <v>1739</v>
      </c>
    </row>
    <row r="315" spans="20:21" ht="15.75" thickBot="1" x14ac:dyDescent="0.3">
      <c r="T315" s="161" t="s">
        <v>1740</v>
      </c>
      <c r="U315" s="161" t="s">
        <v>1740</v>
      </c>
    </row>
    <row r="316" spans="20:21" ht="15.75" thickBot="1" x14ac:dyDescent="0.3">
      <c r="T316" s="161" t="s">
        <v>1741</v>
      </c>
      <c r="U316" s="161" t="s">
        <v>1741</v>
      </c>
    </row>
    <row r="317" spans="20:21" ht="15.75" thickBot="1" x14ac:dyDescent="0.3">
      <c r="T317" s="161" t="s">
        <v>1742</v>
      </c>
      <c r="U317" s="161" t="s">
        <v>1742</v>
      </c>
    </row>
    <row r="318" spans="20:21" ht="15.75" thickBot="1" x14ac:dyDescent="0.3">
      <c r="T318" s="161" t="s">
        <v>1743</v>
      </c>
      <c r="U318" s="161" t="s">
        <v>1743</v>
      </c>
    </row>
    <row r="319" spans="20:21" ht="15.75" thickBot="1" x14ac:dyDescent="0.3">
      <c r="T319" s="161" t="s">
        <v>1744</v>
      </c>
      <c r="U319" s="161" t="s">
        <v>1744</v>
      </c>
    </row>
    <row r="320" spans="20:21" ht="15.75" thickBot="1" x14ac:dyDescent="0.3">
      <c r="T320" s="161" t="s">
        <v>1745</v>
      </c>
      <c r="U320" s="161" t="s">
        <v>1745</v>
      </c>
    </row>
    <row r="321" spans="20:21" ht="15.75" thickBot="1" x14ac:dyDescent="0.3">
      <c r="T321" s="161" t="s">
        <v>1746</v>
      </c>
      <c r="U321" s="161" t="s">
        <v>1746</v>
      </c>
    </row>
    <row r="322" spans="20:21" ht="15.75" thickBot="1" x14ac:dyDescent="0.3">
      <c r="T322" s="161" t="s">
        <v>1747</v>
      </c>
      <c r="U322" s="161" t="s">
        <v>1747</v>
      </c>
    </row>
    <row r="323" spans="20:21" ht="15.75" thickBot="1" x14ac:dyDescent="0.3">
      <c r="T323" s="161" t="s">
        <v>1075</v>
      </c>
      <c r="U323" s="162" t="s">
        <v>1075</v>
      </c>
    </row>
    <row r="324" spans="20:21" ht="15.75" thickBot="1" x14ac:dyDescent="0.3">
      <c r="T324" s="161" t="s">
        <v>1111</v>
      </c>
      <c r="U324" s="162" t="s">
        <v>1111</v>
      </c>
    </row>
    <row r="325" spans="20:21" ht="15.75" thickBot="1" x14ac:dyDescent="0.3">
      <c r="T325" s="161" t="s">
        <v>1112</v>
      </c>
      <c r="U325" s="162" t="s">
        <v>1112</v>
      </c>
    </row>
    <row r="326" spans="20:21" ht="15.75" thickBot="1" x14ac:dyDescent="0.3">
      <c r="T326" s="161" t="s">
        <v>1748</v>
      </c>
      <c r="U326" s="161" t="s">
        <v>1748</v>
      </c>
    </row>
    <row r="327" spans="20:21" ht="15.75" thickBot="1" x14ac:dyDescent="0.3">
      <c r="T327" s="161" t="s">
        <v>1749</v>
      </c>
      <c r="U327" s="161" t="s">
        <v>1749</v>
      </c>
    </row>
    <row r="328" spans="20:21" ht="15.75" thickBot="1" x14ac:dyDescent="0.3">
      <c r="T328" s="161" t="s">
        <v>1750</v>
      </c>
      <c r="U328" s="161" t="s">
        <v>1750</v>
      </c>
    </row>
    <row r="329" spans="20:21" ht="15.75" thickBot="1" x14ac:dyDescent="0.3">
      <c r="T329" s="161" t="s">
        <v>1751</v>
      </c>
      <c r="U329" s="161" t="s">
        <v>1751</v>
      </c>
    </row>
    <row r="330" spans="20:21" ht="15.75" thickBot="1" x14ac:dyDescent="0.3">
      <c r="T330" s="161" t="s">
        <v>1752</v>
      </c>
      <c r="U330" s="161" t="s">
        <v>1752</v>
      </c>
    </row>
    <row r="331" spans="20:21" ht="15.75" thickBot="1" x14ac:dyDescent="0.3">
      <c r="T331" s="161" t="s">
        <v>1753</v>
      </c>
      <c r="U331" s="161" t="s">
        <v>1753</v>
      </c>
    </row>
    <row r="332" spans="20:21" ht="15.75" thickBot="1" x14ac:dyDescent="0.3">
      <c r="T332" s="161" t="s">
        <v>1754</v>
      </c>
      <c r="U332" s="161" t="s">
        <v>1754</v>
      </c>
    </row>
    <row r="333" spans="20:21" ht="15.75" thickBot="1" x14ac:dyDescent="0.3">
      <c r="T333" s="161" t="s">
        <v>1113</v>
      </c>
      <c r="U333" s="162" t="s">
        <v>1113</v>
      </c>
    </row>
    <row r="334" spans="20:21" ht="15.75" thickBot="1" x14ac:dyDescent="0.3">
      <c r="T334" s="161" t="s">
        <v>1114</v>
      </c>
      <c r="U334" s="162" t="s">
        <v>1114</v>
      </c>
    </row>
    <row r="335" spans="20:21" ht="15.75" thickBot="1" x14ac:dyDescent="0.3">
      <c r="T335" s="161" t="s">
        <v>875</v>
      </c>
      <c r="U335" s="162" t="s">
        <v>875</v>
      </c>
    </row>
    <row r="336" spans="20:21" ht="15.75" thickBot="1" x14ac:dyDescent="0.3">
      <c r="T336" s="161" t="s">
        <v>945</v>
      </c>
      <c r="U336" s="162" t="s">
        <v>945</v>
      </c>
    </row>
    <row r="337" spans="20:21" ht="15.75" thickBot="1" x14ac:dyDescent="0.3">
      <c r="T337" s="161" t="s">
        <v>946</v>
      </c>
      <c r="U337" s="162" t="s">
        <v>946</v>
      </c>
    </row>
    <row r="338" spans="20:21" ht="15.75" thickBot="1" x14ac:dyDescent="0.3">
      <c r="T338" s="161" t="s">
        <v>947</v>
      </c>
      <c r="U338" s="162" t="s">
        <v>947</v>
      </c>
    </row>
    <row r="339" spans="20:21" ht="15.75" thickBot="1" x14ac:dyDescent="0.3">
      <c r="T339" s="161" t="s">
        <v>948</v>
      </c>
      <c r="U339" s="162" t="s">
        <v>948</v>
      </c>
    </row>
    <row r="340" spans="20:21" ht="15.75" thickBot="1" x14ac:dyDescent="0.3">
      <c r="T340" s="161" t="s">
        <v>880</v>
      </c>
      <c r="U340" s="162" t="s">
        <v>880</v>
      </c>
    </row>
    <row r="341" spans="20:21" ht="15.75" thickBot="1" x14ac:dyDescent="0.3">
      <c r="T341" s="161" t="s">
        <v>1115</v>
      </c>
      <c r="U341" s="162" t="s">
        <v>1115</v>
      </c>
    </row>
    <row r="342" spans="20:21" ht="15.75" thickBot="1" x14ac:dyDescent="0.3">
      <c r="T342" s="161" t="s">
        <v>1116</v>
      </c>
      <c r="U342" s="162" t="s">
        <v>1116</v>
      </c>
    </row>
    <row r="343" spans="20:21" ht="15.75" thickBot="1" x14ac:dyDescent="0.3">
      <c r="T343" s="161" t="s">
        <v>949</v>
      </c>
      <c r="U343" s="162" t="s">
        <v>949</v>
      </c>
    </row>
    <row r="344" spans="20:21" ht="15.75" thickBot="1" x14ac:dyDescent="0.3">
      <c r="T344" s="161" t="s">
        <v>950</v>
      </c>
      <c r="U344" s="162" t="s">
        <v>950</v>
      </c>
    </row>
    <row r="345" spans="20:21" ht="15.75" thickBot="1" x14ac:dyDescent="0.3">
      <c r="T345" s="161" t="s">
        <v>951</v>
      </c>
      <c r="U345" s="162" t="s">
        <v>951</v>
      </c>
    </row>
    <row r="346" spans="20:21" ht="15.75" thickBot="1" x14ac:dyDescent="0.3">
      <c r="T346" s="161" t="s">
        <v>952</v>
      </c>
      <c r="U346" s="162" t="s">
        <v>952</v>
      </c>
    </row>
    <row r="347" spans="20:21" ht="15.75" thickBot="1" x14ac:dyDescent="0.3">
      <c r="T347" s="161" t="s">
        <v>953</v>
      </c>
      <c r="U347" s="162" t="s">
        <v>953</v>
      </c>
    </row>
    <row r="348" spans="20:21" ht="15.75" thickBot="1" x14ac:dyDescent="0.3">
      <c r="T348" s="161" t="s">
        <v>954</v>
      </c>
      <c r="U348" s="162" t="s">
        <v>954</v>
      </c>
    </row>
    <row r="349" spans="20:21" ht="15.75" thickBot="1" x14ac:dyDescent="0.3">
      <c r="T349" s="161" t="s">
        <v>955</v>
      </c>
      <c r="U349" s="162" t="s">
        <v>955</v>
      </c>
    </row>
    <row r="350" spans="20:21" ht="15.75" thickBot="1" x14ac:dyDescent="0.3">
      <c r="T350" s="161" t="s">
        <v>956</v>
      </c>
      <c r="U350" s="162" t="s">
        <v>956</v>
      </c>
    </row>
    <row r="351" spans="20:21" ht="15.75" thickBot="1" x14ac:dyDescent="0.3">
      <c r="T351" s="161" t="s">
        <v>959</v>
      </c>
      <c r="U351" s="162" t="s">
        <v>959</v>
      </c>
    </row>
    <row r="352" spans="20:21" ht="15.75" thickBot="1" x14ac:dyDescent="0.3">
      <c r="T352" s="161" t="s">
        <v>957</v>
      </c>
      <c r="U352" s="162" t="s">
        <v>957</v>
      </c>
    </row>
    <row r="353" spans="20:21" ht="15.75" thickBot="1" x14ac:dyDescent="0.3">
      <c r="T353" s="161" t="s">
        <v>1117</v>
      </c>
      <c r="U353" s="162" t="s">
        <v>1117</v>
      </c>
    </row>
    <row r="354" spans="20:21" ht="15.75" thickBot="1" x14ac:dyDescent="0.3">
      <c r="T354" s="161" t="s">
        <v>958</v>
      </c>
      <c r="U354" s="162" t="s">
        <v>958</v>
      </c>
    </row>
    <row r="355" spans="20:21" ht="15.75" thickBot="1" x14ac:dyDescent="0.3">
      <c r="T355" s="161" t="s">
        <v>1118</v>
      </c>
      <c r="U355" s="162" t="s">
        <v>1118</v>
      </c>
    </row>
    <row r="356" spans="20:21" ht="15.75" thickBot="1" x14ac:dyDescent="0.3">
      <c r="T356" s="161" t="s">
        <v>960</v>
      </c>
      <c r="U356" s="162" t="s">
        <v>960</v>
      </c>
    </row>
    <row r="357" spans="20:21" ht="15.75" thickBot="1" x14ac:dyDescent="0.3">
      <c r="T357" s="161" t="s">
        <v>1119</v>
      </c>
      <c r="U357" s="162" t="s">
        <v>1119</v>
      </c>
    </row>
    <row r="358" spans="20:21" ht="15.75" thickBot="1" x14ac:dyDescent="0.3">
      <c r="T358" s="161" t="s">
        <v>1120</v>
      </c>
      <c r="U358" s="162" t="s">
        <v>1120</v>
      </c>
    </row>
    <row r="359" spans="20:21" ht="15.75" thickBot="1" x14ac:dyDescent="0.3">
      <c r="T359" s="161" t="s">
        <v>1121</v>
      </c>
      <c r="U359" s="162" t="s">
        <v>1121</v>
      </c>
    </row>
    <row r="360" spans="20:21" ht="15.75" thickBot="1" x14ac:dyDescent="0.3">
      <c r="T360" s="161" t="s">
        <v>1122</v>
      </c>
      <c r="U360" s="162" t="s">
        <v>1122</v>
      </c>
    </row>
    <row r="361" spans="20:21" ht="15.75" thickBot="1" x14ac:dyDescent="0.3">
      <c r="T361" s="161" t="s">
        <v>1123</v>
      </c>
      <c r="U361" s="162" t="s">
        <v>1123</v>
      </c>
    </row>
    <row r="362" spans="20:21" ht="15.75" thickBot="1" x14ac:dyDescent="0.3">
      <c r="T362" s="161" t="s">
        <v>1124</v>
      </c>
      <c r="U362" s="162" t="s">
        <v>1124</v>
      </c>
    </row>
    <row r="363" spans="20:21" ht="15.75" thickBot="1" x14ac:dyDescent="0.3">
      <c r="T363" s="161" t="s">
        <v>1125</v>
      </c>
      <c r="U363" s="162" t="s">
        <v>1125</v>
      </c>
    </row>
    <row r="364" spans="20:21" ht="15.75" thickBot="1" x14ac:dyDescent="0.3">
      <c r="T364" s="161" t="s">
        <v>961</v>
      </c>
      <c r="U364" s="162" t="s">
        <v>961</v>
      </c>
    </row>
    <row r="365" spans="20:21" ht="15.75" thickBot="1" x14ac:dyDescent="0.3">
      <c r="T365" s="161" t="s">
        <v>1126</v>
      </c>
      <c r="U365" s="162" t="s">
        <v>1126</v>
      </c>
    </row>
    <row r="366" spans="20:21" ht="15.75" thickBot="1" x14ac:dyDescent="0.3">
      <c r="T366" s="161" t="s">
        <v>876</v>
      </c>
      <c r="U366" s="162" t="s">
        <v>876</v>
      </c>
    </row>
    <row r="367" spans="20:21" ht="15.75" thickBot="1" x14ac:dyDescent="0.3">
      <c r="T367" s="161" t="s">
        <v>1127</v>
      </c>
      <c r="U367" s="162" t="s">
        <v>1127</v>
      </c>
    </row>
    <row r="368" spans="20:21" ht="15.75" thickBot="1" x14ac:dyDescent="0.3">
      <c r="T368" s="161" t="s">
        <v>1128</v>
      </c>
      <c r="U368" s="162" t="s">
        <v>1128</v>
      </c>
    </row>
    <row r="369" spans="20:21" ht="15.75" thickBot="1" x14ac:dyDescent="0.3">
      <c r="T369" s="161" t="s">
        <v>962</v>
      </c>
      <c r="U369" s="162" t="s">
        <v>962</v>
      </c>
    </row>
    <row r="370" spans="20:21" ht="15.75" thickBot="1" x14ac:dyDescent="0.3">
      <c r="T370" s="161" t="s">
        <v>828</v>
      </c>
      <c r="U370" s="162" t="s">
        <v>828</v>
      </c>
    </row>
    <row r="371" spans="20:21" ht="15.75" thickBot="1" x14ac:dyDescent="0.3">
      <c r="T371" s="161" t="s">
        <v>1129</v>
      </c>
      <c r="U371" s="162" t="s">
        <v>1129</v>
      </c>
    </row>
    <row r="372" spans="20:21" ht="15.75" thickBot="1" x14ac:dyDescent="0.3">
      <c r="T372" s="161" t="s">
        <v>1130</v>
      </c>
      <c r="U372" s="162" t="s">
        <v>1130</v>
      </c>
    </row>
    <row r="373" spans="20:21" ht="15.75" thickBot="1" x14ac:dyDescent="0.3">
      <c r="T373" s="161" t="s">
        <v>1131</v>
      </c>
      <c r="U373" s="162" t="s">
        <v>1131</v>
      </c>
    </row>
    <row r="374" spans="20:21" ht="15.75" thickBot="1" x14ac:dyDescent="0.3">
      <c r="T374" s="161" t="s">
        <v>1076</v>
      </c>
      <c r="U374" s="162" t="s">
        <v>1076</v>
      </c>
    </row>
    <row r="375" spans="20:21" ht="15.75" thickBot="1" x14ac:dyDescent="0.3">
      <c r="T375" s="161" t="s">
        <v>829</v>
      </c>
      <c r="U375" s="162" t="s">
        <v>829</v>
      </c>
    </row>
    <row r="376" spans="20:21" ht="15.75" thickBot="1" x14ac:dyDescent="0.3">
      <c r="T376" s="161" t="s">
        <v>827</v>
      </c>
      <c r="U376" s="162" t="s">
        <v>827</v>
      </c>
    </row>
    <row r="377" spans="20:21" ht="15.75" thickBot="1" x14ac:dyDescent="0.3">
      <c r="T377" s="161" t="s">
        <v>1132</v>
      </c>
      <c r="U377" s="162" t="s">
        <v>1132</v>
      </c>
    </row>
    <row r="378" spans="20:21" ht="15.75" thickBot="1" x14ac:dyDescent="0.3">
      <c r="T378" s="161" t="s">
        <v>1077</v>
      </c>
      <c r="U378" s="162" t="s">
        <v>1077</v>
      </c>
    </row>
    <row r="379" spans="20:21" ht="15.75" thickBot="1" x14ac:dyDescent="0.3">
      <c r="T379" s="161" t="s">
        <v>1078</v>
      </c>
      <c r="U379" s="162" t="s">
        <v>1078</v>
      </c>
    </row>
    <row r="380" spans="20:21" ht="15.75" thickBot="1" x14ac:dyDescent="0.3">
      <c r="T380" s="161" t="s">
        <v>877</v>
      </c>
      <c r="U380" s="162" t="s">
        <v>877</v>
      </c>
    </row>
    <row r="381" spans="20:21" ht="15.75" thickBot="1" x14ac:dyDescent="0.3">
      <c r="T381" s="161" t="s">
        <v>1133</v>
      </c>
      <c r="U381" s="162" t="s">
        <v>1133</v>
      </c>
    </row>
    <row r="382" spans="20:21" ht="15.75" thickBot="1" x14ac:dyDescent="0.3">
      <c r="T382" s="161" t="s">
        <v>1134</v>
      </c>
      <c r="U382" s="162" t="s">
        <v>1134</v>
      </c>
    </row>
    <row r="383" spans="20:21" ht="15.75" thickBot="1" x14ac:dyDescent="0.3">
      <c r="T383" s="161" t="s">
        <v>1135</v>
      </c>
      <c r="U383" s="162" t="s">
        <v>1135</v>
      </c>
    </row>
    <row r="384" spans="20:21" ht="15.75" thickBot="1" x14ac:dyDescent="0.3">
      <c r="T384" s="161" t="s">
        <v>881</v>
      </c>
      <c r="U384" s="162" t="s">
        <v>881</v>
      </c>
    </row>
    <row r="385" spans="20:21" ht="15.75" thickBot="1" x14ac:dyDescent="0.3">
      <c r="T385" s="161" t="s">
        <v>1136</v>
      </c>
      <c r="U385" s="162" t="s">
        <v>1136</v>
      </c>
    </row>
    <row r="386" spans="20:21" ht="15.75" thickBot="1" x14ac:dyDescent="0.3">
      <c r="T386" s="161" t="s">
        <v>1137</v>
      </c>
      <c r="U386" s="162" t="s">
        <v>1137</v>
      </c>
    </row>
    <row r="387" spans="20:21" ht="15.75" thickBot="1" x14ac:dyDescent="0.3">
      <c r="T387" s="161" t="s">
        <v>1138</v>
      </c>
      <c r="U387" s="162" t="s">
        <v>1138</v>
      </c>
    </row>
    <row r="388" spans="20:21" ht="15.75" thickBot="1" x14ac:dyDescent="0.3">
      <c r="T388" s="161" t="s">
        <v>882</v>
      </c>
      <c r="U388" s="162" t="s">
        <v>882</v>
      </c>
    </row>
    <row r="389" spans="20:21" ht="15.75" thickBot="1" x14ac:dyDescent="0.3">
      <c r="T389" s="161" t="s">
        <v>1139</v>
      </c>
      <c r="U389" s="162" t="s">
        <v>1139</v>
      </c>
    </row>
    <row r="390" spans="20:21" ht="15.75" thickBot="1" x14ac:dyDescent="0.3">
      <c r="T390" s="161" t="s">
        <v>1140</v>
      </c>
      <c r="U390" s="162" t="s">
        <v>1140</v>
      </c>
    </row>
    <row r="391" spans="20:21" ht="15.75" thickBot="1" x14ac:dyDescent="0.3">
      <c r="T391" s="161" t="s">
        <v>1141</v>
      </c>
      <c r="U391" s="162" t="s">
        <v>1141</v>
      </c>
    </row>
    <row r="392" spans="20:21" ht="15.75" thickBot="1" x14ac:dyDescent="0.3">
      <c r="T392" s="161" t="s">
        <v>963</v>
      </c>
      <c r="U392" s="162" t="s">
        <v>963</v>
      </c>
    </row>
    <row r="393" spans="20:21" ht="15.75" thickBot="1" x14ac:dyDescent="0.3">
      <c r="T393" s="161" t="s">
        <v>1142</v>
      </c>
      <c r="U393" s="162" t="s">
        <v>1142</v>
      </c>
    </row>
    <row r="394" spans="20:21" ht="15.75" thickBot="1" x14ac:dyDescent="0.3">
      <c r="T394" s="161" t="s">
        <v>1143</v>
      </c>
      <c r="U394" s="162" t="s">
        <v>1143</v>
      </c>
    </row>
    <row r="395" spans="20:21" ht="15.75" thickBot="1" x14ac:dyDescent="0.3">
      <c r="T395" s="161" t="s">
        <v>1144</v>
      </c>
      <c r="U395" s="162" t="s">
        <v>1144</v>
      </c>
    </row>
    <row r="396" spans="20:21" ht="15.75" thickBot="1" x14ac:dyDescent="0.3">
      <c r="T396" s="161" t="s">
        <v>1145</v>
      </c>
      <c r="U396" s="162" t="s">
        <v>1145</v>
      </c>
    </row>
    <row r="397" spans="20:21" ht="15.75" thickBot="1" x14ac:dyDescent="0.3">
      <c r="T397" s="161" t="s">
        <v>1146</v>
      </c>
      <c r="U397" s="162" t="s">
        <v>1146</v>
      </c>
    </row>
    <row r="398" spans="20:21" ht="15.75" thickBot="1" x14ac:dyDescent="0.3">
      <c r="T398" s="161" t="s">
        <v>1147</v>
      </c>
      <c r="U398" s="162" t="s">
        <v>1147</v>
      </c>
    </row>
    <row r="399" spans="20:21" ht="15.75" thickBot="1" x14ac:dyDescent="0.3">
      <c r="T399" s="161" t="s">
        <v>1148</v>
      </c>
      <c r="U399" s="162" t="s">
        <v>1148</v>
      </c>
    </row>
    <row r="400" spans="20:21" ht="15.75" thickBot="1" x14ac:dyDescent="0.3">
      <c r="T400" s="161" t="s">
        <v>964</v>
      </c>
      <c r="U400" s="162" t="s">
        <v>964</v>
      </c>
    </row>
    <row r="401" spans="20:21" ht="15.75" thickBot="1" x14ac:dyDescent="0.3">
      <c r="T401" s="161" t="s">
        <v>1149</v>
      </c>
      <c r="U401" s="162" t="s">
        <v>1149</v>
      </c>
    </row>
    <row r="402" spans="20:21" ht="15.75" thickBot="1" x14ac:dyDescent="0.3">
      <c r="T402" s="161" t="s">
        <v>1150</v>
      </c>
      <c r="U402" s="162" t="s">
        <v>1150</v>
      </c>
    </row>
    <row r="403" spans="20:21" ht="15.75" thickBot="1" x14ac:dyDescent="0.3">
      <c r="T403" s="161" t="s">
        <v>1151</v>
      </c>
      <c r="U403" s="162" t="s">
        <v>1151</v>
      </c>
    </row>
    <row r="404" spans="20:21" ht="15.75" thickBot="1" x14ac:dyDescent="0.3">
      <c r="T404" s="161" t="s">
        <v>1152</v>
      </c>
      <c r="U404" s="162" t="s">
        <v>1152</v>
      </c>
    </row>
    <row r="405" spans="20:21" ht="15.75" thickBot="1" x14ac:dyDescent="0.3">
      <c r="T405" s="161" t="s">
        <v>1153</v>
      </c>
      <c r="U405" s="162" t="s">
        <v>1153</v>
      </c>
    </row>
    <row r="406" spans="20:21" ht="15.75" thickBot="1" x14ac:dyDescent="0.3">
      <c r="T406" s="161" t="s">
        <v>1154</v>
      </c>
      <c r="U406" s="162" t="s">
        <v>1154</v>
      </c>
    </row>
    <row r="407" spans="20:21" ht="15.75" thickBot="1" x14ac:dyDescent="0.3">
      <c r="T407" s="161" t="s">
        <v>1155</v>
      </c>
      <c r="U407" s="162" t="s">
        <v>1155</v>
      </c>
    </row>
    <row r="408" spans="20:21" ht="15.75" thickBot="1" x14ac:dyDescent="0.3">
      <c r="T408" s="161" t="s">
        <v>1156</v>
      </c>
      <c r="U408" s="162" t="s">
        <v>1156</v>
      </c>
    </row>
    <row r="409" spans="20:21" ht="15.75" thickBot="1" x14ac:dyDescent="0.3">
      <c r="T409" s="161" t="s">
        <v>1157</v>
      </c>
      <c r="U409" s="162" t="s">
        <v>1157</v>
      </c>
    </row>
    <row r="410" spans="20:21" ht="15.75" thickBot="1" x14ac:dyDescent="0.3">
      <c r="T410" s="161" t="s">
        <v>1158</v>
      </c>
      <c r="U410" s="162" t="s">
        <v>1158</v>
      </c>
    </row>
    <row r="411" spans="20:21" ht="15.75" thickBot="1" x14ac:dyDescent="0.3">
      <c r="T411" s="161" t="s">
        <v>1159</v>
      </c>
      <c r="U411" s="162" t="s">
        <v>1159</v>
      </c>
    </row>
    <row r="412" spans="20:21" ht="15.75" thickBot="1" x14ac:dyDescent="0.3">
      <c r="T412" s="161" t="s">
        <v>1160</v>
      </c>
      <c r="U412" s="162" t="s">
        <v>1160</v>
      </c>
    </row>
    <row r="413" spans="20:21" ht="15.75" thickBot="1" x14ac:dyDescent="0.3">
      <c r="T413" s="161" t="s">
        <v>1161</v>
      </c>
      <c r="U413" s="162" t="s">
        <v>1161</v>
      </c>
    </row>
    <row r="414" spans="20:21" ht="15.75" thickBot="1" x14ac:dyDescent="0.3">
      <c r="T414" s="161" t="s">
        <v>1162</v>
      </c>
      <c r="U414" s="162" t="s">
        <v>1162</v>
      </c>
    </row>
    <row r="415" spans="20:21" ht="15.75" thickBot="1" x14ac:dyDescent="0.3">
      <c r="T415" s="161" t="s">
        <v>1163</v>
      </c>
      <c r="U415" s="162" t="s">
        <v>1163</v>
      </c>
    </row>
    <row r="416" spans="20:21" ht="15.75" thickBot="1" x14ac:dyDescent="0.3">
      <c r="T416" s="161" t="s">
        <v>1164</v>
      </c>
      <c r="U416" s="162" t="s">
        <v>1164</v>
      </c>
    </row>
    <row r="417" spans="20:21" ht="15.75" thickBot="1" x14ac:dyDescent="0.3">
      <c r="T417" s="161" t="s">
        <v>1165</v>
      </c>
      <c r="U417" s="162" t="s">
        <v>1165</v>
      </c>
    </row>
    <row r="418" spans="20:21" ht="15.75" thickBot="1" x14ac:dyDescent="0.3">
      <c r="T418" s="161" t="s">
        <v>1079</v>
      </c>
      <c r="U418" s="162" t="s">
        <v>1079</v>
      </c>
    </row>
    <row r="419" spans="20:21" ht="15.75" thickBot="1" x14ac:dyDescent="0.3">
      <c r="T419" s="161" t="s">
        <v>1080</v>
      </c>
      <c r="U419" s="162" t="s">
        <v>1080</v>
      </c>
    </row>
    <row r="420" spans="20:21" ht="15.75" thickBot="1" x14ac:dyDescent="0.3">
      <c r="T420" s="161" t="s">
        <v>1081</v>
      </c>
      <c r="U420" s="162" t="s">
        <v>1081</v>
      </c>
    </row>
    <row r="421" spans="20:21" ht="15.75" thickBot="1" x14ac:dyDescent="0.3">
      <c r="T421" s="161" t="s">
        <v>1082</v>
      </c>
      <c r="U421" s="162" t="s">
        <v>1082</v>
      </c>
    </row>
    <row r="422" spans="20:21" ht="15.75" thickBot="1" x14ac:dyDescent="0.3">
      <c r="T422" s="161" t="s">
        <v>1083</v>
      </c>
      <c r="U422" s="162" t="s">
        <v>1083</v>
      </c>
    </row>
    <row r="423" spans="20:21" ht="15.75" thickBot="1" x14ac:dyDescent="0.3">
      <c r="T423" s="161" t="s">
        <v>1166</v>
      </c>
      <c r="U423" s="162" t="s">
        <v>1166</v>
      </c>
    </row>
    <row r="424" spans="20:21" ht="15.75" thickBot="1" x14ac:dyDescent="0.3">
      <c r="T424" s="161" t="s">
        <v>1167</v>
      </c>
      <c r="U424" s="162" t="s">
        <v>1167</v>
      </c>
    </row>
    <row r="425" spans="20:21" ht="15.75" thickBot="1" x14ac:dyDescent="0.3">
      <c r="T425" s="161" t="s">
        <v>1168</v>
      </c>
      <c r="U425" s="162" t="s">
        <v>1168</v>
      </c>
    </row>
    <row r="426" spans="20:21" ht="15.75" thickBot="1" x14ac:dyDescent="0.3">
      <c r="T426" s="161" t="s">
        <v>1169</v>
      </c>
      <c r="U426" s="162" t="s">
        <v>1169</v>
      </c>
    </row>
    <row r="427" spans="20:21" ht="15.75" thickBot="1" x14ac:dyDescent="0.3">
      <c r="T427" s="161" t="s">
        <v>1170</v>
      </c>
      <c r="U427" s="162" t="s">
        <v>1170</v>
      </c>
    </row>
    <row r="428" spans="20:21" ht="15.75" thickBot="1" x14ac:dyDescent="0.3">
      <c r="T428" s="161" t="s">
        <v>1084</v>
      </c>
      <c r="U428" s="162" t="s">
        <v>1084</v>
      </c>
    </row>
    <row r="429" spans="20:21" ht="15.75" thickBot="1" x14ac:dyDescent="0.3">
      <c r="T429" s="161" t="s">
        <v>1085</v>
      </c>
      <c r="U429" s="162" t="s">
        <v>1085</v>
      </c>
    </row>
    <row r="430" spans="20:21" ht="15.75" thickBot="1" x14ac:dyDescent="0.3">
      <c r="T430" s="161" t="s">
        <v>883</v>
      </c>
      <c r="U430" s="162" t="s">
        <v>883</v>
      </c>
    </row>
    <row r="431" spans="20:21" ht="15.75" thickBot="1" x14ac:dyDescent="0.3">
      <c r="T431" s="161" t="s">
        <v>884</v>
      </c>
      <c r="U431" s="162" t="s">
        <v>884</v>
      </c>
    </row>
    <row r="432" spans="20:21" ht="15.75" thickBot="1" x14ac:dyDescent="0.3">
      <c r="T432" s="161" t="s">
        <v>885</v>
      </c>
      <c r="U432" s="162" t="s">
        <v>885</v>
      </c>
    </row>
    <row r="433" spans="20:21" ht="15.75" thickBot="1" x14ac:dyDescent="0.3">
      <c r="T433" s="161" t="s">
        <v>1086</v>
      </c>
      <c r="U433" s="162" t="s">
        <v>1086</v>
      </c>
    </row>
    <row r="434" spans="20:21" ht="15.75" thickBot="1" x14ac:dyDescent="0.3">
      <c r="T434" s="161" t="s">
        <v>886</v>
      </c>
      <c r="U434" s="162" t="s">
        <v>886</v>
      </c>
    </row>
    <row r="435" spans="20:21" ht="15.75" thickBot="1" x14ac:dyDescent="0.3">
      <c r="T435" s="178" t="s">
        <v>1234</v>
      </c>
      <c r="U435" s="178" t="s">
        <v>1234</v>
      </c>
    </row>
    <row r="436" spans="20:21" ht="15.75" thickBot="1" x14ac:dyDescent="0.3">
      <c r="T436" s="161" t="s">
        <v>1755</v>
      </c>
      <c r="U436" s="161" t="s">
        <v>853</v>
      </c>
    </row>
    <row r="437" spans="20:21" ht="15.75" thickBot="1" x14ac:dyDescent="0.3">
      <c r="T437" s="178" t="s">
        <v>1367</v>
      </c>
      <c r="U437" s="178" t="s">
        <v>1368</v>
      </c>
    </row>
    <row r="438" spans="20:21" ht="15.75" thickBot="1" x14ac:dyDescent="0.3">
      <c r="T438" s="178" t="s">
        <v>1243</v>
      </c>
      <c r="U438" s="179" t="s">
        <v>1244</v>
      </c>
    </row>
    <row r="439" spans="20:21" ht="15.75" thickBot="1" x14ac:dyDescent="0.3">
      <c r="T439" s="178" t="s">
        <v>1417</v>
      </c>
      <c r="U439" s="178" t="s">
        <v>1418</v>
      </c>
    </row>
    <row r="440" spans="20:21" ht="15.75" thickBot="1" x14ac:dyDescent="0.3">
      <c r="T440" s="169" t="s">
        <v>865</v>
      </c>
      <c r="U440" s="170" t="s">
        <v>865</v>
      </c>
    </row>
    <row r="441" spans="20:21" ht="15.75" thickBot="1" x14ac:dyDescent="0.3">
      <c r="T441" s="169" t="s">
        <v>1809</v>
      </c>
      <c r="U441" s="170" t="s">
        <v>1810</v>
      </c>
    </row>
    <row r="442" spans="20:21" ht="15.75" thickBot="1" x14ac:dyDescent="0.3">
      <c r="T442" s="178" t="s">
        <v>1267</v>
      </c>
      <c r="U442" s="179" t="s">
        <v>1268</v>
      </c>
    </row>
    <row r="443" spans="20:21" ht="15.75" thickBot="1" x14ac:dyDescent="0.3">
      <c r="T443" s="161" t="s">
        <v>1756</v>
      </c>
      <c r="U443" s="161" t="s">
        <v>1757</v>
      </c>
    </row>
    <row r="444" spans="20:21" ht="15.75" thickBot="1" x14ac:dyDescent="0.3">
      <c r="T444" s="178" t="s">
        <v>1271</v>
      </c>
      <c r="U444" s="178" t="s">
        <v>1272</v>
      </c>
    </row>
    <row r="445" spans="20:21" ht="15.75" thickBot="1" x14ac:dyDescent="0.3">
      <c r="T445" s="178" t="s">
        <v>1397</v>
      </c>
      <c r="U445" s="178" t="s">
        <v>1398</v>
      </c>
    </row>
    <row r="446" spans="20:21" ht="15.75" thickBot="1" x14ac:dyDescent="0.3">
      <c r="T446" s="178" t="s">
        <v>1279</v>
      </c>
      <c r="U446" s="178" t="s">
        <v>1280</v>
      </c>
    </row>
    <row r="447" spans="20:21" ht="15.75" thickBot="1" x14ac:dyDescent="0.3">
      <c r="T447" s="178" t="s">
        <v>1281</v>
      </c>
      <c r="U447" s="178" t="s">
        <v>1282</v>
      </c>
    </row>
    <row r="448" spans="20:21" ht="15.75" thickBot="1" x14ac:dyDescent="0.3">
      <c r="T448" s="178" t="s">
        <v>1425</v>
      </c>
      <c r="U448" s="178" t="s">
        <v>1426</v>
      </c>
    </row>
    <row r="449" spans="20:21" ht="15.75" thickBot="1" x14ac:dyDescent="0.3">
      <c r="T449" s="178" t="s">
        <v>1811</v>
      </c>
      <c r="U449" s="178" t="s">
        <v>1812</v>
      </c>
    </row>
    <row r="450" spans="20:21" ht="15.75" thickBot="1" x14ac:dyDescent="0.3">
      <c r="T450" s="178" t="s">
        <v>1358</v>
      </c>
      <c r="U450" s="178" t="s">
        <v>1358</v>
      </c>
    </row>
    <row r="451" spans="20:21" ht="15.75" thickBot="1" x14ac:dyDescent="0.3">
      <c r="T451" s="161" t="s">
        <v>686</v>
      </c>
      <c r="U451" s="162" t="s">
        <v>1183</v>
      </c>
    </row>
    <row r="452" spans="20:21" ht="15.75" thickBot="1" x14ac:dyDescent="0.3">
      <c r="T452" s="178" t="s">
        <v>1203</v>
      </c>
      <c r="U452" s="179" t="s">
        <v>1204</v>
      </c>
    </row>
    <row r="453" spans="20:21" ht="15.75" thickBot="1" x14ac:dyDescent="0.3">
      <c r="T453" s="161" t="s">
        <v>690</v>
      </c>
      <c r="U453" s="162" t="s">
        <v>1185</v>
      </c>
    </row>
    <row r="454" spans="20:21" ht="15.75" thickBot="1" x14ac:dyDescent="0.3">
      <c r="T454" s="161" t="s">
        <v>688</v>
      </c>
      <c r="U454" s="162" t="s">
        <v>1184</v>
      </c>
    </row>
    <row r="455" spans="20:21" ht="15.75" thickBot="1" x14ac:dyDescent="0.3">
      <c r="T455" s="161" t="s">
        <v>692</v>
      </c>
      <c r="U455" s="162" t="s">
        <v>1186</v>
      </c>
    </row>
    <row r="456" spans="20:21" ht="15.75" thickBot="1" x14ac:dyDescent="0.3">
      <c r="T456" s="161" t="s">
        <v>694</v>
      </c>
      <c r="U456" s="162" t="s">
        <v>1177</v>
      </c>
    </row>
    <row r="457" spans="20:21" ht="15.75" thickBot="1" x14ac:dyDescent="0.3">
      <c r="T457" s="161" t="s">
        <v>696</v>
      </c>
      <c r="U457" s="162" t="s">
        <v>862</v>
      </c>
    </row>
    <row r="458" spans="20:21" ht="15.75" thickBot="1" x14ac:dyDescent="0.3">
      <c r="T458" s="161" t="s">
        <v>698</v>
      </c>
      <c r="U458" s="162" t="s">
        <v>1187</v>
      </c>
    </row>
    <row r="459" spans="20:21" ht="15.75" thickBot="1" x14ac:dyDescent="0.3">
      <c r="T459" s="161" t="s">
        <v>700</v>
      </c>
      <c r="U459" s="162" t="s">
        <v>1188</v>
      </c>
    </row>
    <row r="460" spans="20:21" ht="15.75" thickBot="1" x14ac:dyDescent="0.3">
      <c r="T460" s="178" t="s">
        <v>1223</v>
      </c>
      <c r="U460" s="179" t="s">
        <v>1224</v>
      </c>
    </row>
    <row r="461" spans="20:21" ht="15.75" thickBot="1" x14ac:dyDescent="0.3">
      <c r="T461" s="161" t="s">
        <v>702</v>
      </c>
      <c r="U461" s="162" t="s">
        <v>1179</v>
      </c>
    </row>
    <row r="462" spans="20:21" ht="15.75" thickBot="1" x14ac:dyDescent="0.3">
      <c r="T462" s="161" t="s">
        <v>704</v>
      </c>
      <c r="U462" s="162" t="s">
        <v>1178</v>
      </c>
    </row>
    <row r="463" spans="20:21" ht="15.75" thickBot="1" x14ac:dyDescent="0.3">
      <c r="T463" s="178" t="s">
        <v>1219</v>
      </c>
      <c r="U463" s="179" t="s">
        <v>1197</v>
      </c>
    </row>
    <row r="464" spans="20:21" ht="15.75" thickBot="1" x14ac:dyDescent="0.3">
      <c r="T464" s="178" t="s">
        <v>1209</v>
      </c>
      <c r="U464" s="179" t="s">
        <v>1210</v>
      </c>
    </row>
    <row r="465" spans="20:21" ht="15.75" thickBot="1" x14ac:dyDescent="0.3">
      <c r="T465" s="161" t="s">
        <v>706</v>
      </c>
      <c r="U465" s="162" t="s">
        <v>1180</v>
      </c>
    </row>
    <row r="466" spans="20:21" ht="15.75" thickBot="1" x14ac:dyDescent="0.3">
      <c r="T466" s="178" t="s">
        <v>1213</v>
      </c>
      <c r="U466" s="179" t="s">
        <v>1214</v>
      </c>
    </row>
    <row r="467" spans="20:21" ht="15.75" thickBot="1" x14ac:dyDescent="0.3">
      <c r="T467" s="161" t="s">
        <v>708</v>
      </c>
      <c r="U467" s="162" t="s">
        <v>1181</v>
      </c>
    </row>
    <row r="468" spans="20:21" ht="15.75" thickBot="1" x14ac:dyDescent="0.3">
      <c r="T468" s="161" t="s">
        <v>710</v>
      </c>
      <c r="U468" s="162" t="s">
        <v>1182</v>
      </c>
    </row>
    <row r="469" spans="20:21" ht="15.75" thickBot="1" x14ac:dyDescent="0.3">
      <c r="T469" s="161" t="s">
        <v>1581</v>
      </c>
      <c r="U469" s="162" t="s">
        <v>1582</v>
      </c>
    </row>
    <row r="470" spans="20:21" ht="15.75" thickBot="1" x14ac:dyDescent="0.3">
      <c r="T470" s="161" t="s">
        <v>712</v>
      </c>
      <c r="U470" s="162" t="s">
        <v>1189</v>
      </c>
    </row>
    <row r="471" spans="20:21" ht="15.75" thickBot="1" x14ac:dyDescent="0.3">
      <c r="T471" s="178" t="s">
        <v>1795</v>
      </c>
      <c r="U471" s="179" t="s">
        <v>1220</v>
      </c>
    </row>
    <row r="472" spans="20:21" ht="15.75" thickBot="1" x14ac:dyDescent="0.3">
      <c r="T472" s="169" t="s">
        <v>714</v>
      </c>
      <c r="U472" s="170" t="s">
        <v>872</v>
      </c>
    </row>
    <row r="473" spans="20:21" ht="15.75" thickBot="1" x14ac:dyDescent="0.3">
      <c r="T473" s="161" t="s">
        <v>716</v>
      </c>
      <c r="U473" s="162" t="s">
        <v>1190</v>
      </c>
    </row>
    <row r="474" spans="20:21" ht="15.75" thickBot="1" x14ac:dyDescent="0.3">
      <c r="T474" s="169" t="s">
        <v>718</v>
      </c>
      <c r="U474" s="170" t="s">
        <v>873</v>
      </c>
    </row>
    <row r="475" spans="20:21" ht="15.75" thickBot="1" x14ac:dyDescent="0.3">
      <c r="T475" s="178" t="s">
        <v>1217</v>
      </c>
      <c r="U475" s="179" t="s">
        <v>1218</v>
      </c>
    </row>
    <row r="476" spans="20:21" ht="15.75" thickBot="1" x14ac:dyDescent="0.3">
      <c r="T476" s="161" t="s">
        <v>720</v>
      </c>
      <c r="U476" s="162" t="s">
        <v>1191</v>
      </c>
    </row>
    <row r="477" spans="20:21" ht="15.75" thickBot="1" x14ac:dyDescent="0.3">
      <c r="T477" s="178" t="s">
        <v>1211</v>
      </c>
      <c r="U477" s="179" t="s">
        <v>1212</v>
      </c>
    </row>
    <row r="478" spans="20:21" ht="15.75" thickBot="1" x14ac:dyDescent="0.3">
      <c r="T478" s="178" t="s">
        <v>1215</v>
      </c>
      <c r="U478" s="179" t="s">
        <v>1216</v>
      </c>
    </row>
    <row r="479" spans="20:21" ht="15.75" thickBot="1" x14ac:dyDescent="0.3">
      <c r="T479" s="161" t="s">
        <v>722</v>
      </c>
      <c r="U479" s="162" t="s">
        <v>1192</v>
      </c>
    </row>
    <row r="480" spans="20:21" ht="15.75" thickBot="1" x14ac:dyDescent="0.3">
      <c r="T480" s="161" t="s">
        <v>724</v>
      </c>
      <c r="U480" s="162" t="s">
        <v>1193</v>
      </c>
    </row>
    <row r="481" spans="20:21" ht="15.75" thickBot="1" x14ac:dyDescent="0.3">
      <c r="T481" s="178" t="s">
        <v>1201</v>
      </c>
      <c r="U481" s="179" t="s">
        <v>1202</v>
      </c>
    </row>
    <row r="482" spans="20:21" ht="15.75" thickBot="1" x14ac:dyDescent="0.3">
      <c r="T482" s="178" t="s">
        <v>1201</v>
      </c>
      <c r="U482" s="179" t="s">
        <v>1202</v>
      </c>
    </row>
    <row r="483" spans="20:21" ht="15.75" thickBot="1" x14ac:dyDescent="0.3">
      <c r="T483" s="178" t="s">
        <v>1205</v>
      </c>
      <c r="U483" s="179" t="s">
        <v>1206</v>
      </c>
    </row>
    <row r="484" spans="20:21" ht="15.75" thickBot="1" x14ac:dyDescent="0.3">
      <c r="T484" s="178" t="s">
        <v>1207</v>
      </c>
      <c r="U484" s="179" t="s">
        <v>1208</v>
      </c>
    </row>
    <row r="485" spans="20:21" ht="15.75" thickBot="1" x14ac:dyDescent="0.3">
      <c r="T485" s="178" t="s">
        <v>1221</v>
      </c>
      <c r="U485" s="179" t="s">
        <v>1222</v>
      </c>
    </row>
    <row r="486" spans="20:21" ht="15.75" thickBot="1" x14ac:dyDescent="0.3">
      <c r="T486" s="161" t="s">
        <v>726</v>
      </c>
      <c r="U486" s="162" t="s">
        <v>1176</v>
      </c>
    </row>
    <row r="487" spans="20:21" ht="15.75" thickBot="1" x14ac:dyDescent="0.3">
      <c r="T487" s="178" t="s">
        <v>726</v>
      </c>
      <c r="U487" s="179" t="s">
        <v>1176</v>
      </c>
    </row>
    <row r="488" spans="20:21" ht="15.75" thickBot="1" x14ac:dyDescent="0.3">
      <c r="T488" s="178" t="s">
        <v>1356</v>
      </c>
      <c r="U488" s="178" t="s">
        <v>1357</v>
      </c>
    </row>
    <row r="489" spans="20:21" ht="15.75" thickBot="1" x14ac:dyDescent="0.3">
      <c r="T489" s="178" t="s">
        <v>1342</v>
      </c>
      <c r="U489" s="178" t="s">
        <v>1343</v>
      </c>
    </row>
    <row r="490" spans="20:21" ht="15.75" thickBot="1" x14ac:dyDescent="0.3">
      <c r="T490" s="178" t="s">
        <v>1411</v>
      </c>
      <c r="U490" s="178" t="s">
        <v>1412</v>
      </c>
    </row>
    <row r="491" spans="20:21" ht="15.75" thickBot="1" x14ac:dyDescent="0.3">
      <c r="T491" s="178" t="s">
        <v>1301</v>
      </c>
      <c r="U491" s="178" t="s">
        <v>859</v>
      </c>
    </row>
    <row r="492" spans="20:21" ht="15.75" thickBot="1" x14ac:dyDescent="0.3">
      <c r="T492" s="178" t="s">
        <v>1323</v>
      </c>
      <c r="U492" s="178" t="s">
        <v>1324</v>
      </c>
    </row>
    <row r="493" spans="20:21" ht="15.75" thickBot="1" x14ac:dyDescent="0.3">
      <c r="T493" s="178" t="s">
        <v>1286</v>
      </c>
      <c r="U493" s="178" t="s">
        <v>1287</v>
      </c>
    </row>
    <row r="494" spans="20:21" ht="15.75" thickBot="1" x14ac:dyDescent="0.3">
      <c r="T494" s="178" t="s">
        <v>1311</v>
      </c>
      <c r="U494" s="178" t="s">
        <v>1312</v>
      </c>
    </row>
    <row r="495" spans="20:21" ht="15.75" thickBot="1" x14ac:dyDescent="0.3">
      <c r="T495" s="161" t="s">
        <v>1758</v>
      </c>
      <c r="U495" s="161" t="s">
        <v>1759</v>
      </c>
    </row>
    <row r="496" spans="20:21" ht="15.75" thickBot="1" x14ac:dyDescent="0.3">
      <c r="T496" s="169" t="s">
        <v>854</v>
      </c>
      <c r="U496" s="169" t="s">
        <v>855</v>
      </c>
    </row>
    <row r="497" spans="20:21" ht="15.75" thickBot="1" x14ac:dyDescent="0.3">
      <c r="T497" s="161" t="s">
        <v>1760</v>
      </c>
      <c r="U497" s="161" t="s">
        <v>1761</v>
      </c>
    </row>
    <row r="498" spans="20:21" ht="15.75" thickBot="1" x14ac:dyDescent="0.3">
      <c r="T498" s="178" t="s">
        <v>1365</v>
      </c>
      <c r="U498" s="178" t="s">
        <v>1366</v>
      </c>
    </row>
    <row r="499" spans="20:21" ht="15.75" thickBot="1" x14ac:dyDescent="0.3">
      <c r="T499" s="178" t="s">
        <v>1369</v>
      </c>
      <c r="U499" s="178" t="s">
        <v>1370</v>
      </c>
    </row>
    <row r="500" spans="20:21" ht="15.75" thickBot="1" x14ac:dyDescent="0.3">
      <c r="T500" s="178" t="s">
        <v>1321</v>
      </c>
      <c r="U500" s="178" t="s">
        <v>1322</v>
      </c>
    </row>
    <row r="501" spans="20:21" ht="15.75" thickBot="1" x14ac:dyDescent="0.3">
      <c r="T501" s="178" t="s">
        <v>1309</v>
      </c>
      <c r="U501" s="178" t="s">
        <v>1310</v>
      </c>
    </row>
    <row r="502" spans="20:21" ht="15.75" thickBot="1" x14ac:dyDescent="0.3">
      <c r="T502" s="178" t="s">
        <v>1796</v>
      </c>
      <c r="U502" s="178" t="s">
        <v>1341</v>
      </c>
    </row>
    <row r="503" spans="20:21" ht="15.75" thickBot="1" x14ac:dyDescent="0.3">
      <c r="T503" s="178" t="s">
        <v>1327</v>
      </c>
      <c r="U503" s="178" t="s">
        <v>1328</v>
      </c>
    </row>
    <row r="504" spans="20:21" ht="15.75" thickBot="1" x14ac:dyDescent="0.3">
      <c r="T504" s="178" t="s">
        <v>1265</v>
      </c>
      <c r="U504" s="179" t="s">
        <v>1266</v>
      </c>
    </row>
    <row r="505" spans="20:21" ht="15.75" thickBot="1" x14ac:dyDescent="0.3">
      <c r="T505" s="161" t="s">
        <v>1762</v>
      </c>
      <c r="U505" s="161" t="s">
        <v>1763</v>
      </c>
    </row>
    <row r="506" spans="20:21" ht="15.75" thickBot="1" x14ac:dyDescent="0.3">
      <c r="T506" s="161" t="s">
        <v>1764</v>
      </c>
      <c r="U506" s="161" t="s">
        <v>1765</v>
      </c>
    </row>
    <row r="507" spans="20:21" ht="15.75" thickBot="1" x14ac:dyDescent="0.3">
      <c r="T507" s="169" t="s">
        <v>866</v>
      </c>
      <c r="U507" s="170" t="s">
        <v>867</v>
      </c>
    </row>
    <row r="508" spans="20:21" ht="15.75" thickBot="1" x14ac:dyDescent="0.3">
      <c r="T508" s="161" t="s">
        <v>866</v>
      </c>
      <c r="U508" s="161" t="s">
        <v>867</v>
      </c>
    </row>
    <row r="509" spans="20:21" ht="15.75" thickBot="1" x14ac:dyDescent="0.3">
      <c r="T509" s="161" t="s">
        <v>1766</v>
      </c>
      <c r="U509" s="161" t="s">
        <v>867</v>
      </c>
    </row>
    <row r="510" spans="20:21" ht="15.75" thickBot="1" x14ac:dyDescent="0.3">
      <c r="T510" s="169" t="s">
        <v>868</v>
      </c>
      <c r="U510" s="170" t="s">
        <v>869</v>
      </c>
    </row>
    <row r="511" spans="20:21" ht="15.75" thickBot="1" x14ac:dyDescent="0.3">
      <c r="T511" s="161" t="s">
        <v>868</v>
      </c>
      <c r="U511" s="161" t="s">
        <v>869</v>
      </c>
    </row>
    <row r="512" spans="20:21" ht="15.75" thickBot="1" x14ac:dyDescent="0.3">
      <c r="T512" s="161" t="s">
        <v>1767</v>
      </c>
      <c r="U512" s="161" t="s">
        <v>864</v>
      </c>
    </row>
    <row r="513" spans="20:21" ht="15.75" thickBot="1" x14ac:dyDescent="0.3">
      <c r="T513" s="169" t="s">
        <v>825</v>
      </c>
      <c r="U513" s="169" t="s">
        <v>860</v>
      </c>
    </row>
    <row r="514" spans="20:21" ht="15.75" thickBot="1" x14ac:dyDescent="0.3">
      <c r="T514" s="161" t="s">
        <v>825</v>
      </c>
      <c r="U514" s="161" t="s">
        <v>860</v>
      </c>
    </row>
    <row r="515" spans="20:21" ht="15.75" thickBot="1" x14ac:dyDescent="0.3">
      <c r="T515" s="178" t="s">
        <v>1363</v>
      </c>
      <c r="U515" s="178" t="s">
        <v>1364</v>
      </c>
    </row>
    <row r="516" spans="20:21" ht="15.75" thickBot="1" x14ac:dyDescent="0.3">
      <c r="T516" s="161" t="s">
        <v>1768</v>
      </c>
      <c r="U516" s="161" t="s">
        <v>1769</v>
      </c>
    </row>
    <row r="517" spans="20:21" ht="15.75" thickBot="1" x14ac:dyDescent="0.3">
      <c r="T517" s="178" t="s">
        <v>1339</v>
      </c>
      <c r="U517" s="178" t="s">
        <v>1340</v>
      </c>
    </row>
    <row r="518" spans="20:21" ht="15.75" thickBot="1" x14ac:dyDescent="0.3">
      <c r="T518" s="178" t="s">
        <v>1421</v>
      </c>
      <c r="U518" s="178" t="s">
        <v>1422</v>
      </c>
    </row>
    <row r="519" spans="20:21" ht="15.75" thickBot="1" x14ac:dyDescent="0.3">
      <c r="T519" s="161" t="s">
        <v>1770</v>
      </c>
      <c r="U519" s="161" t="s">
        <v>853</v>
      </c>
    </row>
    <row r="520" spans="20:21" ht="15.75" thickBot="1" x14ac:dyDescent="0.3">
      <c r="T520" s="161" t="s">
        <v>1771</v>
      </c>
      <c r="U520" s="161" t="s">
        <v>1772</v>
      </c>
    </row>
    <row r="521" spans="20:21" ht="15.75" thickBot="1" x14ac:dyDescent="0.3">
      <c r="T521" s="178" t="s">
        <v>1226</v>
      </c>
      <c r="U521" s="179" t="s">
        <v>865</v>
      </c>
    </row>
    <row r="522" spans="20:21" ht="15.75" thickBot="1" x14ac:dyDescent="0.3">
      <c r="T522" s="178" t="s">
        <v>1228</v>
      </c>
      <c r="U522" s="179" t="s">
        <v>1183</v>
      </c>
    </row>
    <row r="523" spans="20:21" ht="15.75" thickBot="1" x14ac:dyDescent="0.3">
      <c r="T523" s="178" t="s">
        <v>1229</v>
      </c>
      <c r="U523" s="179" t="s">
        <v>1184</v>
      </c>
    </row>
    <row r="524" spans="20:21" ht="15.75" thickBot="1" x14ac:dyDescent="0.3">
      <c r="T524" s="178" t="s">
        <v>1800</v>
      </c>
      <c r="U524" s="179" t="s">
        <v>859</v>
      </c>
    </row>
    <row r="525" spans="20:21" ht="15.75" thickBot="1" x14ac:dyDescent="0.3">
      <c r="T525" s="178" t="s">
        <v>1230</v>
      </c>
      <c r="U525" s="179" t="s">
        <v>1224</v>
      </c>
    </row>
    <row r="526" spans="20:21" ht="15.75" thickBot="1" x14ac:dyDescent="0.3">
      <c r="T526" s="178" t="s">
        <v>1801</v>
      </c>
      <c r="U526" s="179" t="s">
        <v>1802</v>
      </c>
    </row>
    <row r="527" spans="20:21" ht="15.75" thickBot="1" x14ac:dyDescent="0.3">
      <c r="T527" s="178" t="s">
        <v>1227</v>
      </c>
      <c r="U527" s="179" t="s">
        <v>1197</v>
      </c>
    </row>
    <row r="528" spans="20:21" ht="15.75" thickBot="1" x14ac:dyDescent="0.3">
      <c r="T528" s="178" t="s">
        <v>1803</v>
      </c>
      <c r="U528" s="179" t="s">
        <v>864</v>
      </c>
    </row>
    <row r="529" spans="20:21" ht="15.75" thickBot="1" x14ac:dyDescent="0.3">
      <c r="T529" s="178" t="s">
        <v>1583</v>
      </c>
      <c r="U529" s="179" t="s">
        <v>1582</v>
      </c>
    </row>
    <row r="530" spans="20:21" ht="15.75" thickBot="1" x14ac:dyDescent="0.3">
      <c r="T530" s="178" t="s">
        <v>1225</v>
      </c>
      <c r="U530" s="179" t="s">
        <v>850</v>
      </c>
    </row>
    <row r="531" spans="20:21" ht="15.75" thickBot="1" x14ac:dyDescent="0.3">
      <c r="T531" s="169" t="s">
        <v>874</v>
      </c>
      <c r="U531" s="170" t="s">
        <v>852</v>
      </c>
    </row>
    <row r="532" spans="20:21" ht="15.75" thickBot="1" x14ac:dyDescent="0.3">
      <c r="T532" s="178" t="s">
        <v>1346</v>
      </c>
      <c r="U532" s="178" t="s">
        <v>1347</v>
      </c>
    </row>
    <row r="533" spans="20:21" ht="15.75" thickBot="1" x14ac:dyDescent="0.3">
      <c r="T533" s="178" t="s">
        <v>1385</v>
      </c>
      <c r="U533" s="178" t="s">
        <v>1386</v>
      </c>
    </row>
    <row r="534" spans="20:21" ht="15.75" thickBot="1" x14ac:dyDescent="0.3">
      <c r="T534" s="161" t="s">
        <v>1773</v>
      </c>
      <c r="U534" s="161" t="s">
        <v>864</v>
      </c>
    </row>
    <row r="535" spans="20:21" ht="15.75" thickBot="1" x14ac:dyDescent="0.3">
      <c r="T535" s="178" t="s">
        <v>1319</v>
      </c>
      <c r="U535" s="178" t="s">
        <v>1320</v>
      </c>
    </row>
    <row r="536" spans="20:21" ht="15.75" thickBot="1" x14ac:dyDescent="0.3">
      <c r="T536" s="178" t="s">
        <v>1294</v>
      </c>
      <c r="U536" s="178" t="s">
        <v>1295</v>
      </c>
    </row>
    <row r="537" spans="20:21" ht="15.75" thickBot="1" x14ac:dyDescent="0.3">
      <c r="T537" s="169" t="s">
        <v>851</v>
      </c>
      <c r="U537" s="170" t="s">
        <v>852</v>
      </c>
    </row>
    <row r="538" spans="20:21" ht="15.75" thickBot="1" x14ac:dyDescent="0.3">
      <c r="T538" s="178" t="s">
        <v>1249</v>
      </c>
      <c r="U538" s="179" t="s">
        <v>1250</v>
      </c>
    </row>
    <row r="539" spans="20:21" ht="15.75" thickBot="1" x14ac:dyDescent="0.3">
      <c r="T539" s="178" t="s">
        <v>1825</v>
      </c>
      <c r="U539" s="179" t="s">
        <v>1826</v>
      </c>
    </row>
    <row r="540" spans="20:21" ht="15.75" thickBot="1" x14ac:dyDescent="0.3">
      <c r="T540" s="178" t="s">
        <v>1251</v>
      </c>
      <c r="U540" s="178" t="s">
        <v>1252</v>
      </c>
    </row>
    <row r="541" spans="20:21" ht="15.75" thickBot="1" x14ac:dyDescent="0.3">
      <c r="T541" s="178" t="s">
        <v>1245</v>
      </c>
      <c r="U541" s="179" t="s">
        <v>1246</v>
      </c>
    </row>
    <row r="542" spans="20:21" ht="15.75" thickBot="1" x14ac:dyDescent="0.3">
      <c r="T542" s="178" t="s">
        <v>1247</v>
      </c>
      <c r="U542" s="179" t="s">
        <v>1248</v>
      </c>
    </row>
    <row r="543" spans="20:21" ht="15.75" thickBot="1" x14ac:dyDescent="0.3">
      <c r="T543" s="178" t="s">
        <v>1567</v>
      </c>
      <c r="U543" s="179" t="s">
        <v>1568</v>
      </c>
    </row>
    <row r="544" spans="20:21" ht="15.75" thickBot="1" x14ac:dyDescent="0.3">
      <c r="T544" s="169" t="s">
        <v>858</v>
      </c>
      <c r="U544" s="169" t="s">
        <v>859</v>
      </c>
    </row>
    <row r="545" spans="20:21" ht="15.75" thickBot="1" x14ac:dyDescent="0.3">
      <c r="T545" s="169" t="s">
        <v>849</v>
      </c>
      <c r="U545" s="170" t="s">
        <v>850</v>
      </c>
    </row>
    <row r="546" spans="20:21" ht="15.75" thickBot="1" x14ac:dyDescent="0.3">
      <c r="T546" s="169" t="s">
        <v>856</v>
      </c>
      <c r="U546" s="169" t="s">
        <v>857</v>
      </c>
    </row>
    <row r="547" spans="20:21" ht="15.75" thickBot="1" x14ac:dyDescent="0.3">
      <c r="T547" s="161" t="s">
        <v>1774</v>
      </c>
      <c r="U547" s="161" t="s">
        <v>1310</v>
      </c>
    </row>
    <row r="548" spans="20:21" ht="15.75" thickBot="1" x14ac:dyDescent="0.3">
      <c r="T548" s="178" t="s">
        <v>1333</v>
      </c>
      <c r="U548" s="178" t="s">
        <v>1334</v>
      </c>
    </row>
    <row r="549" spans="20:21" ht="15.75" thickBot="1" x14ac:dyDescent="0.3">
      <c r="T549" s="178" t="s">
        <v>1313</v>
      </c>
      <c r="U549" s="178" t="s">
        <v>1314</v>
      </c>
    </row>
    <row r="550" spans="20:21" ht="15.75" thickBot="1" x14ac:dyDescent="0.3">
      <c r="T550" s="178" t="s">
        <v>1381</v>
      </c>
      <c r="U550" s="178" t="s">
        <v>1382</v>
      </c>
    </row>
    <row r="551" spans="20:21" ht="15.75" thickBot="1" x14ac:dyDescent="0.3">
      <c r="T551" s="178" t="s">
        <v>1344</v>
      </c>
      <c r="U551" s="178" t="s">
        <v>787</v>
      </c>
    </row>
    <row r="552" spans="20:21" ht="15.75" thickBot="1" x14ac:dyDescent="0.3">
      <c r="T552" s="169" t="s">
        <v>861</v>
      </c>
      <c r="U552" s="169" t="s">
        <v>862</v>
      </c>
    </row>
    <row r="553" spans="20:21" ht="15.75" thickBot="1" x14ac:dyDescent="0.3">
      <c r="T553" s="178" t="s">
        <v>1292</v>
      </c>
      <c r="U553" s="178" t="s">
        <v>1293</v>
      </c>
    </row>
    <row r="554" spans="20:21" ht="15.75" thickBot="1" x14ac:dyDescent="0.3">
      <c r="T554" s="178" t="s">
        <v>1259</v>
      </c>
      <c r="U554" s="179" t="s">
        <v>1260</v>
      </c>
    </row>
    <row r="555" spans="20:21" ht="15.75" thickBot="1" x14ac:dyDescent="0.3">
      <c r="T555" s="178" t="s">
        <v>1377</v>
      </c>
      <c r="U555" s="178" t="s">
        <v>1378</v>
      </c>
    </row>
    <row r="556" spans="20:21" ht="15.75" thickBot="1" x14ac:dyDescent="0.3">
      <c r="T556" s="178" t="s">
        <v>1399</v>
      </c>
      <c r="U556" s="178" t="s">
        <v>1400</v>
      </c>
    </row>
    <row r="557" spans="20:21" ht="15.75" thickBot="1" x14ac:dyDescent="0.3">
      <c r="T557" s="169" t="s">
        <v>1435</v>
      </c>
      <c r="U557" s="171" t="s">
        <v>853</v>
      </c>
    </row>
    <row r="558" spans="20:21" ht="15.75" thickBot="1" x14ac:dyDescent="0.3">
      <c r="T558" s="161" t="s">
        <v>1435</v>
      </c>
      <c r="U558" s="161" t="s">
        <v>853</v>
      </c>
    </row>
    <row r="559" spans="20:21" ht="15.75" thickBot="1" x14ac:dyDescent="0.3">
      <c r="T559" s="178" t="s">
        <v>1437</v>
      </c>
      <c r="U559" s="169" t="s">
        <v>863</v>
      </c>
    </row>
    <row r="560" spans="20:21" ht="15.75" thickBot="1" x14ac:dyDescent="0.3">
      <c r="T560" s="169" t="s">
        <v>1436</v>
      </c>
      <c r="U560" s="171" t="s">
        <v>853</v>
      </c>
    </row>
    <row r="561" spans="20:21" ht="15.75" thickBot="1" x14ac:dyDescent="0.3">
      <c r="T561" s="169" t="s">
        <v>1438</v>
      </c>
      <c r="U561" s="169" t="s">
        <v>863</v>
      </c>
    </row>
    <row r="562" spans="20:21" ht="15.75" thickBot="1" x14ac:dyDescent="0.3">
      <c r="T562" s="169" t="s">
        <v>870</v>
      </c>
      <c r="U562" s="170" t="s">
        <v>871</v>
      </c>
    </row>
    <row r="563" spans="20:21" ht="15.75" thickBot="1" x14ac:dyDescent="0.3">
      <c r="T563" s="178" t="s">
        <v>1200</v>
      </c>
      <c r="U563" s="179" t="s">
        <v>1200</v>
      </c>
    </row>
    <row r="564" spans="20:21" ht="15.75" thickBot="1" x14ac:dyDescent="0.3">
      <c r="T564" s="178" t="s">
        <v>1352</v>
      </c>
      <c r="U564" s="178" t="s">
        <v>1353</v>
      </c>
    </row>
    <row r="565" spans="20:21" ht="15.75" thickBot="1" x14ac:dyDescent="0.3">
      <c r="T565" s="178" t="s">
        <v>1199</v>
      </c>
      <c r="U565" s="179" t="s">
        <v>1197</v>
      </c>
    </row>
    <row r="566" spans="20:21" ht="15.75" thickBot="1" x14ac:dyDescent="0.3">
      <c r="T566" s="178" t="s">
        <v>1198</v>
      </c>
      <c r="U566" s="179" t="s">
        <v>1197</v>
      </c>
    </row>
    <row r="567" spans="20:21" ht="15.75" thickBot="1" x14ac:dyDescent="0.3">
      <c r="T567" s="161" t="s">
        <v>1775</v>
      </c>
      <c r="U567" s="161" t="s">
        <v>1262</v>
      </c>
    </row>
    <row r="568" spans="20:21" ht="15.75" thickBot="1" x14ac:dyDescent="0.3">
      <c r="T568" s="178" t="s">
        <v>1345</v>
      </c>
      <c r="U568" s="178" t="s">
        <v>1345</v>
      </c>
    </row>
    <row r="569" spans="20:21" ht="15.75" thickBot="1" x14ac:dyDescent="0.3">
      <c r="T569" s="178" t="s">
        <v>1197</v>
      </c>
      <c r="U569" s="179" t="s">
        <v>1197</v>
      </c>
    </row>
    <row r="570" spans="20:21" ht="15.75" thickBot="1" x14ac:dyDescent="0.3">
      <c r="T570" s="178" t="s">
        <v>1307</v>
      </c>
      <c r="U570" s="178" t="s">
        <v>1308</v>
      </c>
    </row>
    <row r="571" spans="20:21" ht="15.75" thickBot="1" x14ac:dyDescent="0.3">
      <c r="T571" s="178" t="s">
        <v>1409</v>
      </c>
      <c r="U571" s="178" t="s">
        <v>1410</v>
      </c>
    </row>
    <row r="572" spans="20:21" ht="15.75" thickBot="1" x14ac:dyDescent="0.3">
      <c r="T572" s="178" t="s">
        <v>1373</v>
      </c>
      <c r="U572" s="178" t="s">
        <v>1374</v>
      </c>
    </row>
    <row r="573" spans="20:21" ht="15.75" thickBot="1" x14ac:dyDescent="0.3">
      <c r="T573" s="178" t="s">
        <v>1315</v>
      </c>
      <c r="U573" s="178" t="s">
        <v>1316</v>
      </c>
    </row>
    <row r="574" spans="20:21" ht="15.75" thickBot="1" x14ac:dyDescent="0.3">
      <c r="T574" s="161" t="s">
        <v>1315</v>
      </c>
      <c r="U574" s="161" t="s">
        <v>1316</v>
      </c>
    </row>
    <row r="575" spans="20:21" ht="15.75" thickBot="1" x14ac:dyDescent="0.3">
      <c r="T575" s="161" t="s">
        <v>1776</v>
      </c>
      <c r="U575" s="161" t="s">
        <v>1469</v>
      </c>
    </row>
    <row r="576" spans="20:21" ht="15.75" thickBot="1" x14ac:dyDescent="0.3">
      <c r="T576" s="178" t="s">
        <v>1585</v>
      </c>
      <c r="U576" s="178" t="s">
        <v>1586</v>
      </c>
    </row>
    <row r="577" spans="20:21" ht="15.75" thickBot="1" x14ac:dyDescent="0.3">
      <c r="T577" s="178" t="s">
        <v>1393</v>
      </c>
      <c r="U577" s="178" t="s">
        <v>1394</v>
      </c>
    </row>
    <row r="578" spans="20:21" ht="15.75" thickBot="1" x14ac:dyDescent="0.3">
      <c r="T578" s="178" t="s">
        <v>1379</v>
      </c>
      <c r="U578" s="178" t="s">
        <v>1380</v>
      </c>
    </row>
    <row r="579" spans="20:21" ht="15.75" thickBot="1" x14ac:dyDescent="0.3">
      <c r="T579" s="178" t="s">
        <v>864</v>
      </c>
      <c r="U579" s="178" t="s">
        <v>864</v>
      </c>
    </row>
    <row r="580" spans="20:21" ht="15.75" thickBot="1" x14ac:dyDescent="0.3">
      <c r="T580" s="178" t="s">
        <v>1565</v>
      </c>
      <c r="U580" s="178" t="s">
        <v>1566</v>
      </c>
    </row>
    <row r="581" spans="20:21" ht="15.75" thickBot="1" x14ac:dyDescent="0.3">
      <c r="T581" s="161" t="s">
        <v>1565</v>
      </c>
      <c r="U581" s="161" t="s">
        <v>1566</v>
      </c>
    </row>
    <row r="582" spans="20:21" ht="15.75" thickBot="1" x14ac:dyDescent="0.3">
      <c r="T582" s="178" t="s">
        <v>1302</v>
      </c>
      <c r="U582" s="178" t="s">
        <v>1303</v>
      </c>
    </row>
    <row r="583" spans="20:21" ht="15.75" thickBot="1" x14ac:dyDescent="0.3">
      <c r="T583" s="178" t="s">
        <v>1274</v>
      </c>
      <c r="U583" s="178" t="s">
        <v>864</v>
      </c>
    </row>
    <row r="584" spans="20:21" ht="15.75" thickBot="1" x14ac:dyDescent="0.3">
      <c r="T584" s="169" t="s">
        <v>826</v>
      </c>
      <c r="U584" s="170" t="s">
        <v>864</v>
      </c>
    </row>
    <row r="585" spans="20:21" ht="15.75" thickBot="1" x14ac:dyDescent="0.3">
      <c r="T585" s="161" t="s">
        <v>826</v>
      </c>
      <c r="U585" s="161" t="s">
        <v>864</v>
      </c>
    </row>
    <row r="586" spans="20:21" ht="15.75" thickBot="1" x14ac:dyDescent="0.3">
      <c r="T586" s="178" t="s">
        <v>1284</v>
      </c>
      <c r="U586" s="178" t="s">
        <v>1285</v>
      </c>
    </row>
    <row r="587" spans="20:21" ht="15.75" thickBot="1" x14ac:dyDescent="0.3">
      <c r="T587" s="178" t="s">
        <v>1288</v>
      </c>
      <c r="U587" s="178" t="s">
        <v>1289</v>
      </c>
    </row>
    <row r="588" spans="20:21" ht="15.75" thickBot="1" x14ac:dyDescent="0.3">
      <c r="T588" s="179" t="s">
        <v>1195</v>
      </c>
      <c r="U588" s="179" t="s">
        <v>1196</v>
      </c>
    </row>
    <row r="589" spans="20:21" ht="15.75" thickBot="1" x14ac:dyDescent="0.3">
      <c r="T589" s="161" t="s">
        <v>1195</v>
      </c>
      <c r="U589" s="161" t="s">
        <v>1196</v>
      </c>
    </row>
    <row r="590" spans="20:21" ht="15.75" thickBot="1" x14ac:dyDescent="0.3">
      <c r="T590" s="178" t="s">
        <v>1405</v>
      </c>
      <c r="U590" s="178" t="s">
        <v>1406</v>
      </c>
    </row>
    <row r="591" spans="20:21" ht="15.75" thickBot="1" x14ac:dyDescent="0.3">
      <c r="T591" s="178" t="s">
        <v>1354</v>
      </c>
      <c r="U591" s="178" t="s">
        <v>1355</v>
      </c>
    </row>
    <row r="592" spans="20:21" ht="15.75" thickBot="1" x14ac:dyDescent="0.3">
      <c r="T592" s="178" t="s">
        <v>1383</v>
      </c>
      <c r="U592" s="178" t="s">
        <v>1384</v>
      </c>
    </row>
    <row r="593" spans="20:21" ht="15.75" thickBot="1" x14ac:dyDescent="0.3">
      <c r="T593" s="178" t="s">
        <v>1361</v>
      </c>
      <c r="U593" s="178" t="s">
        <v>1362</v>
      </c>
    </row>
    <row r="594" spans="20:21" ht="15.75" thickBot="1" x14ac:dyDescent="0.3">
      <c r="T594" s="178" t="s">
        <v>1813</v>
      </c>
      <c r="U594" s="178" t="s">
        <v>1814</v>
      </c>
    </row>
    <row r="595" spans="20:21" ht="15.75" thickBot="1" x14ac:dyDescent="0.3">
      <c r="T595" s="161" t="s">
        <v>1777</v>
      </c>
      <c r="U595" s="161" t="s">
        <v>1262</v>
      </c>
    </row>
    <row r="596" spans="20:21" ht="15.75" thickBot="1" x14ac:dyDescent="0.3">
      <c r="T596" s="178" t="s">
        <v>1335</v>
      </c>
      <c r="U596" s="178" t="s">
        <v>1336</v>
      </c>
    </row>
    <row r="597" spans="20:21" ht="15.75" thickBot="1" x14ac:dyDescent="0.3">
      <c r="T597" s="178" t="s">
        <v>1299</v>
      </c>
      <c r="U597" s="178" t="s">
        <v>1300</v>
      </c>
    </row>
    <row r="598" spans="20:21" ht="15.75" thickBot="1" x14ac:dyDescent="0.3">
      <c r="T598" s="178" t="s">
        <v>1575</v>
      </c>
      <c r="U598" s="178" t="s">
        <v>1574</v>
      </c>
    </row>
    <row r="599" spans="20:21" ht="15.75" thickBot="1" x14ac:dyDescent="0.3">
      <c r="T599" s="178" t="s">
        <v>1261</v>
      </c>
      <c r="U599" s="179" t="s">
        <v>1262</v>
      </c>
    </row>
    <row r="600" spans="20:21" ht="15.75" thickBot="1" x14ac:dyDescent="0.3">
      <c r="T600" s="178" t="s">
        <v>1273</v>
      </c>
      <c r="U600" s="178" t="s">
        <v>1273</v>
      </c>
    </row>
    <row r="601" spans="20:21" ht="15.75" thickBot="1" x14ac:dyDescent="0.3">
      <c r="T601" s="178" t="s">
        <v>1387</v>
      </c>
      <c r="U601" s="178" t="s">
        <v>1388</v>
      </c>
    </row>
    <row r="602" spans="20:21" ht="15.75" thickBot="1" x14ac:dyDescent="0.3">
      <c r="T602" s="178" t="s">
        <v>1325</v>
      </c>
      <c r="U602" s="178" t="s">
        <v>1326</v>
      </c>
    </row>
    <row r="603" spans="20:21" ht="15.75" thickBot="1" x14ac:dyDescent="0.3">
      <c r="T603" s="178" t="s">
        <v>1255</v>
      </c>
      <c r="U603" s="179" t="s">
        <v>1256</v>
      </c>
    </row>
    <row r="604" spans="20:21" ht="15.75" thickBot="1" x14ac:dyDescent="0.3">
      <c r="T604" s="178" t="s">
        <v>1415</v>
      </c>
      <c r="U604" s="178" t="s">
        <v>1416</v>
      </c>
    </row>
    <row r="605" spans="20:21" ht="15.75" thickBot="1" x14ac:dyDescent="0.3">
      <c r="T605" s="161" t="s">
        <v>1415</v>
      </c>
      <c r="U605" s="161" t="s">
        <v>1416</v>
      </c>
    </row>
    <row r="606" spans="20:21" ht="15.75" thickBot="1" x14ac:dyDescent="0.3">
      <c r="T606" s="161" t="s">
        <v>1778</v>
      </c>
      <c r="U606" s="161" t="s">
        <v>871</v>
      </c>
    </row>
    <row r="607" spans="20:21" ht="15.75" thickBot="1" x14ac:dyDescent="0.3">
      <c r="T607" s="161" t="s">
        <v>1778</v>
      </c>
      <c r="U607" s="161" t="s">
        <v>1278</v>
      </c>
    </row>
    <row r="608" spans="20:21" ht="15.75" thickBot="1" x14ac:dyDescent="0.3">
      <c r="T608" s="178" t="s">
        <v>1348</v>
      </c>
      <c r="U608" s="178" t="s">
        <v>1349</v>
      </c>
    </row>
    <row r="609" spans="20:21" ht="15.75" thickBot="1" x14ac:dyDescent="0.3">
      <c r="T609" s="178" t="s">
        <v>1253</v>
      </c>
      <c r="U609" s="179" t="s">
        <v>1254</v>
      </c>
    </row>
    <row r="610" spans="20:21" ht="15.75" thickBot="1" x14ac:dyDescent="0.3">
      <c r="T610" s="178" t="s">
        <v>1823</v>
      </c>
      <c r="U610" s="179" t="s">
        <v>1824</v>
      </c>
    </row>
    <row r="611" spans="20:21" ht="15.75" thickBot="1" x14ac:dyDescent="0.3">
      <c r="T611" s="178" t="s">
        <v>1395</v>
      </c>
      <c r="U611" s="178" t="s">
        <v>1396</v>
      </c>
    </row>
    <row r="612" spans="20:21" ht="15.75" thickBot="1" x14ac:dyDescent="0.3">
      <c r="T612" s="161" t="s">
        <v>1779</v>
      </c>
      <c r="U612" s="161" t="s">
        <v>1780</v>
      </c>
    </row>
    <row r="613" spans="20:21" ht="15.75" thickBot="1" x14ac:dyDescent="0.3">
      <c r="T613" s="178" t="s">
        <v>1391</v>
      </c>
      <c r="U613" s="178" t="s">
        <v>1392</v>
      </c>
    </row>
    <row r="614" spans="20:21" ht="15.75" thickBot="1" x14ac:dyDescent="0.3">
      <c r="T614" s="178" t="s">
        <v>1468</v>
      </c>
      <c r="U614" s="178" t="s">
        <v>1469</v>
      </c>
    </row>
    <row r="615" spans="20:21" ht="15.75" thickBot="1" x14ac:dyDescent="0.3">
      <c r="T615" s="178" t="s">
        <v>1359</v>
      </c>
      <c r="U615" s="178" t="s">
        <v>1360</v>
      </c>
    </row>
    <row r="616" spans="20:21" ht="15.75" thickBot="1" x14ac:dyDescent="0.3">
      <c r="T616" s="178" t="s">
        <v>1816</v>
      </c>
      <c r="U616" s="178" t="s">
        <v>1817</v>
      </c>
    </row>
    <row r="617" spans="20:21" ht="15.75" thickBot="1" x14ac:dyDescent="0.3">
      <c r="T617" s="161" t="s">
        <v>1781</v>
      </c>
      <c r="U617" s="161" t="s">
        <v>1782</v>
      </c>
    </row>
    <row r="618" spans="20:21" ht="15.75" thickBot="1" x14ac:dyDescent="0.3">
      <c r="T618" s="161" t="s">
        <v>1783</v>
      </c>
      <c r="U618" s="161" t="s">
        <v>1784</v>
      </c>
    </row>
    <row r="619" spans="20:21" ht="15.75" thickBot="1" x14ac:dyDescent="0.3">
      <c r="T619" s="161" t="s">
        <v>1838</v>
      </c>
      <c r="U619" s="161" t="s">
        <v>1839</v>
      </c>
    </row>
    <row r="620" spans="20:21" ht="15.75" thickBot="1" x14ac:dyDescent="0.3">
      <c r="T620" s="178" t="s">
        <v>1571</v>
      </c>
      <c r="U620" s="178" t="s">
        <v>1572</v>
      </c>
    </row>
    <row r="621" spans="20:21" ht="15.75" thickBot="1" x14ac:dyDescent="0.3">
      <c r="T621" s="178" t="s">
        <v>1413</v>
      </c>
      <c r="U621" s="178" t="s">
        <v>1414</v>
      </c>
    </row>
    <row r="622" spans="20:21" ht="15.75" thickBot="1" x14ac:dyDescent="0.3">
      <c r="T622" s="161" t="s">
        <v>1785</v>
      </c>
      <c r="U622" s="161" t="s">
        <v>1469</v>
      </c>
    </row>
    <row r="623" spans="20:21" ht="15.75" thickBot="1" x14ac:dyDescent="0.3">
      <c r="T623" s="178" t="s">
        <v>1283</v>
      </c>
      <c r="U623" s="178" t="s">
        <v>850</v>
      </c>
    </row>
    <row r="624" spans="20:21" ht="15.75" thickBot="1" x14ac:dyDescent="0.3">
      <c r="T624" s="178" t="s">
        <v>1298</v>
      </c>
      <c r="U624" s="178" t="s">
        <v>1264</v>
      </c>
    </row>
    <row r="625" spans="20:21" ht="15.75" thickBot="1" x14ac:dyDescent="0.3">
      <c r="T625" s="178" t="s">
        <v>1576</v>
      </c>
      <c r="U625" s="178" t="s">
        <v>1578</v>
      </c>
    </row>
    <row r="626" spans="20:21" ht="15.75" thickBot="1" x14ac:dyDescent="0.3">
      <c r="T626" s="178" t="s">
        <v>1577</v>
      </c>
      <c r="U626" s="178" t="s">
        <v>1579</v>
      </c>
    </row>
    <row r="627" spans="20:21" ht="15.75" thickBot="1" x14ac:dyDescent="0.3">
      <c r="T627" s="178" t="s">
        <v>1296</v>
      </c>
      <c r="U627" s="178" t="s">
        <v>1297</v>
      </c>
    </row>
    <row r="628" spans="20:21" ht="15.75" thickBot="1" x14ac:dyDescent="0.3">
      <c r="T628" s="161" t="s">
        <v>1786</v>
      </c>
      <c r="U628" s="161" t="s">
        <v>865</v>
      </c>
    </row>
    <row r="629" spans="20:21" ht="15.75" thickBot="1" x14ac:dyDescent="0.3">
      <c r="T629" s="161" t="s">
        <v>1787</v>
      </c>
      <c r="U629" s="161" t="s">
        <v>1469</v>
      </c>
    </row>
    <row r="630" spans="20:21" ht="15.75" thickBot="1" x14ac:dyDescent="0.3">
      <c r="T630" s="178" t="s">
        <v>1389</v>
      </c>
      <c r="U630" s="178" t="s">
        <v>1390</v>
      </c>
    </row>
    <row r="631" spans="20:21" ht="15.75" thickBot="1" x14ac:dyDescent="0.3">
      <c r="T631" s="161" t="s">
        <v>1788</v>
      </c>
      <c r="U631" s="161" t="s">
        <v>850</v>
      </c>
    </row>
    <row r="632" spans="20:21" ht="15.75" thickBot="1" x14ac:dyDescent="0.3">
      <c r="T632" s="161" t="s">
        <v>1789</v>
      </c>
      <c r="U632" s="161" t="s">
        <v>860</v>
      </c>
    </row>
    <row r="633" spans="20:21" ht="15.75" thickBot="1" x14ac:dyDescent="0.3">
      <c r="T633" s="161" t="s">
        <v>1789</v>
      </c>
      <c r="U633" s="161" t="s">
        <v>850</v>
      </c>
    </row>
    <row r="634" spans="20:21" ht="15.75" thickBot="1" x14ac:dyDescent="0.3">
      <c r="T634" s="178" t="s">
        <v>1306</v>
      </c>
      <c r="U634" s="178" t="s">
        <v>1306</v>
      </c>
    </row>
    <row r="635" spans="20:21" ht="15.75" thickBot="1" x14ac:dyDescent="0.3">
      <c r="T635" s="178" t="s">
        <v>1257</v>
      </c>
      <c r="U635" s="179" t="s">
        <v>1258</v>
      </c>
    </row>
    <row r="636" spans="20:21" ht="15.75" thickBot="1" x14ac:dyDescent="0.3">
      <c r="T636" s="178" t="s">
        <v>1331</v>
      </c>
      <c r="U636" s="178" t="s">
        <v>1332</v>
      </c>
    </row>
    <row r="637" spans="20:21" ht="15.75" thickBot="1" x14ac:dyDescent="0.3">
      <c r="T637" s="178" t="s">
        <v>1277</v>
      </c>
      <c r="U637" s="178" t="s">
        <v>1278</v>
      </c>
    </row>
    <row r="638" spans="20:21" ht="15.75" thickBot="1" x14ac:dyDescent="0.3">
      <c r="T638" s="178" t="s">
        <v>1263</v>
      </c>
      <c r="U638" s="179" t="s">
        <v>1264</v>
      </c>
    </row>
    <row r="639" spans="20:21" ht="15.75" thickBot="1" x14ac:dyDescent="0.3">
      <c r="T639" s="178" t="s">
        <v>1304</v>
      </c>
      <c r="U639" s="178" t="s">
        <v>1305</v>
      </c>
    </row>
    <row r="640" spans="20:21" ht="15.75" thickBot="1" x14ac:dyDescent="0.3">
      <c r="T640" s="178" t="s">
        <v>1806</v>
      </c>
      <c r="U640" s="178" t="s">
        <v>1807</v>
      </c>
    </row>
    <row r="641" spans="20:21" ht="15.75" thickBot="1" x14ac:dyDescent="0.3">
      <c r="T641" s="162" t="s">
        <v>1194</v>
      </c>
      <c r="U641" s="162" t="s">
        <v>857</v>
      </c>
    </row>
    <row r="642" spans="20:21" ht="15.75" thickBot="1" x14ac:dyDescent="0.3">
      <c r="T642" s="161" t="s">
        <v>1194</v>
      </c>
      <c r="U642" s="161" t="s">
        <v>857</v>
      </c>
    </row>
    <row r="643" spans="20:21" ht="15.75" thickBot="1" x14ac:dyDescent="0.3">
      <c r="T643" s="178" t="s">
        <v>1290</v>
      </c>
      <c r="U643" s="178" t="s">
        <v>1291</v>
      </c>
    </row>
    <row r="644" spans="20:21" ht="15.75" thickBot="1" x14ac:dyDescent="0.3">
      <c r="T644" s="178" t="s">
        <v>1371</v>
      </c>
      <c r="U644" s="178" t="s">
        <v>1372</v>
      </c>
    </row>
    <row r="645" spans="20:21" ht="15.75" thickBot="1" x14ac:dyDescent="0.3">
      <c r="T645" s="178" t="s">
        <v>1269</v>
      </c>
      <c r="U645" s="179" t="s">
        <v>1270</v>
      </c>
    </row>
    <row r="646" spans="20:21" ht="15.75" thickBot="1" x14ac:dyDescent="0.3">
      <c r="T646" s="178" t="s">
        <v>1329</v>
      </c>
      <c r="U646" s="178" t="s">
        <v>1330</v>
      </c>
    </row>
    <row r="647" spans="20:21" ht="15.75" thickBot="1" x14ac:dyDescent="0.3">
      <c r="T647" s="178" t="s">
        <v>1375</v>
      </c>
      <c r="U647" s="178" t="s">
        <v>1376</v>
      </c>
    </row>
    <row r="648" spans="20:21" ht="15.75" thickBot="1" x14ac:dyDescent="0.3">
      <c r="T648" s="178" t="s">
        <v>1317</v>
      </c>
      <c r="U648" s="178" t="s">
        <v>1318</v>
      </c>
    </row>
    <row r="649" spans="20:21" ht="15.75" thickBot="1" x14ac:dyDescent="0.3">
      <c r="T649" s="178" t="s">
        <v>1470</v>
      </c>
      <c r="U649" s="178" t="s">
        <v>852</v>
      </c>
    </row>
    <row r="650" spans="20:21" ht="15.75" thickBot="1" x14ac:dyDescent="0.3">
      <c r="T650" s="178" t="s">
        <v>1275</v>
      </c>
      <c r="U650" s="178" t="s">
        <v>1276</v>
      </c>
    </row>
    <row r="651" spans="20:21" ht="15.75" thickBot="1" x14ac:dyDescent="0.3">
      <c r="T651" s="178" t="s">
        <v>1403</v>
      </c>
      <c r="U651" s="178" t="s">
        <v>1404</v>
      </c>
    </row>
    <row r="652" spans="20:21" ht="15.75" thickBot="1" x14ac:dyDescent="0.3">
      <c r="T652" s="178" t="s">
        <v>1401</v>
      </c>
      <c r="U652" s="178" t="s">
        <v>1402</v>
      </c>
    </row>
    <row r="653" spans="20:21" ht="15.75" thickBot="1" x14ac:dyDescent="0.3">
      <c r="T653" s="178" t="s">
        <v>1350</v>
      </c>
      <c r="U653" s="178" t="s">
        <v>1351</v>
      </c>
    </row>
    <row r="654" spans="20:21" ht="15.75" thickBot="1" x14ac:dyDescent="0.3">
      <c r="T654" s="161" t="s">
        <v>1790</v>
      </c>
      <c r="U654" s="161" t="s">
        <v>1244</v>
      </c>
    </row>
    <row r="655" spans="20:21" ht="15.75" thickBot="1" x14ac:dyDescent="0.3">
      <c r="T655" s="178" t="s">
        <v>1407</v>
      </c>
      <c r="U655" s="178" t="s">
        <v>1408</v>
      </c>
    </row>
    <row r="656" spans="20:21" ht="15.75" thickBot="1" x14ac:dyDescent="0.3">
      <c r="T656" s="178" t="s">
        <v>1337</v>
      </c>
      <c r="U656" s="178" t="s">
        <v>1338</v>
      </c>
    </row>
    <row r="657" spans="20:21" ht="15.75" thickBot="1" x14ac:dyDescent="0.3">
      <c r="T657" s="178" t="s">
        <v>1423</v>
      </c>
      <c r="U657" s="178" t="s">
        <v>1424</v>
      </c>
    </row>
    <row r="658" spans="20:21" ht="15.75" thickBot="1" x14ac:dyDescent="0.3">
      <c r="T658" s="161" t="s">
        <v>1791</v>
      </c>
      <c r="U658" s="161" t="s">
        <v>1469</v>
      </c>
    </row>
    <row r="659" spans="20:21" ht="15.75" thickBot="1" x14ac:dyDescent="0.3">
      <c r="T659" s="178" t="s">
        <v>1242</v>
      </c>
      <c r="U659" s="179" t="s">
        <v>1177</v>
      </c>
    </row>
    <row r="660" spans="20:21" ht="15.75" thickBot="1" x14ac:dyDescent="0.3">
      <c r="T660" s="178" t="s">
        <v>1235</v>
      </c>
      <c r="U660" s="179" t="s">
        <v>862</v>
      </c>
    </row>
    <row r="661" spans="20:21" ht="15.75" thickBot="1" x14ac:dyDescent="0.3">
      <c r="T661" s="178" t="s">
        <v>1237</v>
      </c>
      <c r="U661" s="179" t="s">
        <v>1179</v>
      </c>
    </row>
    <row r="662" spans="20:21" ht="15.75" thickBot="1" x14ac:dyDescent="0.3">
      <c r="T662" s="178" t="s">
        <v>1240</v>
      </c>
      <c r="U662" s="179" t="s">
        <v>1178</v>
      </c>
    </row>
    <row r="663" spans="20:21" ht="15.75" thickBot="1" x14ac:dyDescent="0.3">
      <c r="T663" s="161" t="s">
        <v>1792</v>
      </c>
      <c r="U663" s="161" t="s">
        <v>860</v>
      </c>
    </row>
    <row r="664" spans="20:21" ht="15.75" thickBot="1" x14ac:dyDescent="0.3">
      <c r="T664" s="178" t="s">
        <v>1238</v>
      </c>
      <c r="U664" s="179" t="s">
        <v>1180</v>
      </c>
    </row>
    <row r="665" spans="20:21" ht="15.75" thickBot="1" x14ac:dyDescent="0.3">
      <c r="T665" s="178" t="s">
        <v>1239</v>
      </c>
      <c r="U665" s="179" t="s">
        <v>1181</v>
      </c>
    </row>
    <row r="666" spans="20:21" ht="15.75" thickBot="1" x14ac:dyDescent="0.3">
      <c r="T666" s="178" t="s">
        <v>1236</v>
      </c>
      <c r="U666" s="179" t="s">
        <v>1182</v>
      </c>
    </row>
    <row r="667" spans="20:21" ht="15.75" thickBot="1" x14ac:dyDescent="0.3">
      <c r="T667" s="178" t="s">
        <v>1241</v>
      </c>
      <c r="U667" s="179" t="s">
        <v>1176</v>
      </c>
    </row>
    <row r="668" spans="20:21" ht="15.75" thickBot="1" x14ac:dyDescent="0.3">
      <c r="T668" s="161" t="s">
        <v>1793</v>
      </c>
      <c r="U668" s="161" t="s">
        <v>1469</v>
      </c>
    </row>
    <row r="669" spans="20:21" ht="15.75" thickBot="1" x14ac:dyDescent="0.3">
      <c r="T669" s="178" t="s">
        <v>1233</v>
      </c>
      <c r="U669" s="179" t="s">
        <v>1234</v>
      </c>
    </row>
    <row r="670" spans="20:21" ht="15.75" thickBot="1" x14ac:dyDescent="0.3">
      <c r="T670" s="178" t="s">
        <v>1231</v>
      </c>
      <c r="U670" s="179" t="s">
        <v>1232</v>
      </c>
    </row>
    <row r="671" spans="20:21" ht="15.75" thickBot="1" x14ac:dyDescent="0.3">
      <c r="T671" s="161" t="s">
        <v>730</v>
      </c>
      <c r="U671" s="162" t="s">
        <v>1177</v>
      </c>
    </row>
    <row r="672" spans="20:21" ht="15.75" thickBot="1" x14ac:dyDescent="0.3">
      <c r="T672" s="161" t="s">
        <v>731</v>
      </c>
      <c r="U672" s="162" t="s">
        <v>862</v>
      </c>
    </row>
    <row r="673" spans="20:21" ht="15.75" thickBot="1" x14ac:dyDescent="0.3">
      <c r="T673" s="161" t="s">
        <v>733</v>
      </c>
      <c r="U673" s="162" t="s">
        <v>1179</v>
      </c>
    </row>
    <row r="674" spans="20:21" ht="15.75" thickBot="1" x14ac:dyDescent="0.3">
      <c r="T674" s="161" t="s">
        <v>732</v>
      </c>
      <c r="U674" s="162" t="s">
        <v>1178</v>
      </c>
    </row>
    <row r="675" spans="20:21" ht="15.75" thickBot="1" x14ac:dyDescent="0.3">
      <c r="T675" s="161" t="s">
        <v>734</v>
      </c>
      <c r="U675" s="162" t="s">
        <v>1180</v>
      </c>
    </row>
    <row r="676" spans="20:21" ht="15.75" thickBot="1" x14ac:dyDescent="0.3">
      <c r="T676" s="161" t="s">
        <v>735</v>
      </c>
      <c r="U676" s="162" t="s">
        <v>1181</v>
      </c>
    </row>
    <row r="677" spans="20:21" ht="15.75" thickBot="1" x14ac:dyDescent="0.3">
      <c r="T677" s="161" t="s">
        <v>736</v>
      </c>
      <c r="U677" s="162" t="s">
        <v>1182</v>
      </c>
    </row>
    <row r="678" spans="20:21" ht="15.75" thickBot="1" x14ac:dyDescent="0.3">
      <c r="T678" s="161" t="s">
        <v>728</v>
      </c>
      <c r="U678" s="162" t="s">
        <v>1176</v>
      </c>
    </row>
    <row r="679" spans="20:21" ht="15.75" thickBot="1" x14ac:dyDescent="0.3">
      <c r="T679" s="161" t="s">
        <v>1794</v>
      </c>
      <c r="U679" s="161" t="s">
        <v>1469</v>
      </c>
    </row>
    <row r="680" spans="20:21" ht="15.75" thickBot="1" x14ac:dyDescent="0.3">
      <c r="T680" s="178" t="s">
        <v>1419</v>
      </c>
      <c r="U680" s="178" t="s">
        <v>1420</v>
      </c>
    </row>
  </sheetData>
  <sheetProtection algorithmName="SHA-512" hashValue="LwJznLNYKnpIiTYAZCjva9BA8/F0usf1xhO1m3YFwG60crEvJCWnkm9PW0fc/BDl8mVtfseAec0CnuCNeG0WPA==" saltValue="HblATW486mfOYmNmEb0ppQ==" spinCount="100000" sheet="1" objects="1" scenarios="1"/>
  <sortState xmlns:xlrd2="http://schemas.microsoft.com/office/spreadsheetml/2017/richdata2" ref="T2:U504">
    <sortCondition ref="T2:T504"/>
  </sortState>
  <phoneticPr fontId="20" type="noConversion"/>
  <conditionalFormatting sqref="U4">
    <cfRule type="dataBar" priority="1">
      <dataBar>
        <cfvo type="min"/>
        <cfvo type="max"/>
        <color theme="4"/>
      </dataBar>
      <extLst>
        <ext xmlns:x14="http://schemas.microsoft.com/office/spreadsheetml/2009/9/main" uri="{B025F937-C7B1-47D3-B67F-A62EFF666E3E}">
          <x14:id>{2FBF8FBD-3CF0-4E91-AEA6-C613DCDF0C79}</x14:id>
        </ext>
      </extLst>
    </cfRule>
    <cfRule type="colorScale" priority="2">
      <colorScale>
        <cfvo type="min"/>
        <cfvo type="max"/>
        <color theme="7"/>
        <color theme="8"/>
      </colorScale>
    </cfRule>
  </conditionalFormatting>
  <dataValidations disablePrompts="1" count="1">
    <dataValidation allowBlank="1" showInputMessage="1" showErrorMessage="1" promptTitle="Server Protocol" prompt="Choose the DSV Server Protocol" sqref="R2:R3" xr:uid="{BB548838-274A-402E-94D3-6A1699B62241}"/>
  </dataValidations>
  <hyperlinks>
    <hyperlink ref="T2" r:id="rId1" tooltip="0A1 - Notification of Failure" display="https://www.gs1us.org/resources/rosettanet/standards-library/pip-directory/0-rossettanaet-support" xr:uid="{DF052216-DD64-41AC-8922-137FFC22BB3B}"/>
    <hyperlink ref="T3" r:id="rId2" tooltip="0C1 - Asynchronous Test Notification" display="https://www.gs1us.org/resources/rosettanet/standards-library/pip-directory/0-rossettanaet-support" xr:uid="{A55F9186-AFAE-4BE4-9CFE-A6450C41989E}"/>
    <hyperlink ref="T4" r:id="rId3" tooltip="0C2 - Asynchronous Test Request / Confirmation" display="https://www.gs1us.org/resources/rosettanet/standards-library/pip-directory/0-rossettanaet-support" xr:uid="{F0A21E17-49EA-47EB-91CE-29D067995D38}"/>
    <hyperlink ref="T5" r:id="rId4" tooltip="0C3 - Synchronous Test Notification" display="https://www.gs1us.org/resources/rosettanet/standards-library/pip-directory/0-rossettanaet-support" xr:uid="{E06FCE5D-CB83-43C8-9AE9-048CA545E867}"/>
    <hyperlink ref="T6" r:id="rId5" tooltip="0C4 - Synchronous Test Query / Response" display="https://www.gs1us.org/resources/rosettanet/standards-library/pip-directory/0-rossettanaet-support" xr:uid="{36074245-8C40-45EB-8FC0-523275B5BC39}"/>
    <hyperlink ref="T69" r:id="rId6" tooltip="1A1 - Request Account Setup" display="https://www.gs1us.org/resources/rosettanet/standards-library/pip-directory/1-partner-product-and-service-review" xr:uid="{C1795EA0-B6C6-4D48-AF68-35BCC1BEE34A}"/>
    <hyperlink ref="T70" r:id="rId7" tooltip="1A2 - Maintain Account" display="https://www.gs1us.org/resources/rosettanet/standards-library/pip-directory/1-partner-product-and-service-review" xr:uid="{2E1CB7DB-007C-404F-BE3F-3AE59FDFE5CC}"/>
    <hyperlink ref="T118" r:id="rId8" tooltip="2A1 - Distribute New Product Information" display="https://www.gs1us.org/resources/rosettanet/standards-library/pip-directory/2a-preperation-for-distribution" xr:uid="{B0FF58B4-BE23-4A51-BF5D-33780E0F4494}"/>
    <hyperlink ref="T126" r:id="rId9" tooltip="2A3 - Query Marketing Information" display="https://www.gs1us.org/resources/rosettanet/standards-library/pip-directory/2a-preperation-for-distribution" xr:uid="{47EED60C-64A6-4C93-8673-F83785356C4E}"/>
    <hyperlink ref="T127" r:id="rId10" tooltip="2A4 - Query Sales Promotion &amp; Rebate Information" display="https://www.gs1us.org/resources/rosettanet/standards-library/pip-directory/2a-preperation-for-distribution" xr:uid="{AC66FD83-59D9-4E01-921A-F748F048F38D}"/>
    <hyperlink ref="T128" r:id="rId11" tooltip="2A6 - Query Product Lifecycle Information" display="https://www.gs1us.org/resources/rosettanet/standards-library/pip-directory/2a-preperation-for-distribution" xr:uid="{59DC48B2-F421-4CDE-82AA-325D736E3766}"/>
    <hyperlink ref="T129" r:id="rId12" tooltip="2A7 - Query Product Discontinuation Information" display="https://www.gs1us.org/resources/rosettanet/standards-library/pip-directory/2a-preperation-for-distribution" xr:uid="{26C9091D-1D56-4073-A63E-4930B6B18755}"/>
    <hyperlink ref="T130" r:id="rId13" tooltip="2A9 - Query Technical Product Information" display="https://www.gs1us.org/resources/rosettanet/standards-library/pip-directory/2a-preperation-for-distribution" xr:uid="{C2023798-028E-4C88-9F8C-8A77034B27F4}"/>
    <hyperlink ref="T119" r:id="rId14" tooltip="2A10 - Distribute Design Engineering Information" display="https://www.gs1us.org/resources/rosettanet/standards-library/pip-directory/2a-preperation-for-distribution" xr:uid="{E1EB0BEC-9CA1-441B-8D94-837369732A1F}"/>
    <hyperlink ref="T120" r:id="rId15" tooltip="2A12 - Distribute Product Master" display="https://www.gs1us.org/resources/rosettanet/standards-library/pip-directory/2a-preperation-for-distribution" xr:uid="{BEF62009-3E93-4E7A-97AC-A3A8EA78D7C4}"/>
    <hyperlink ref="T121" r:id="rId16" tooltip="2A13 - Distribute Material Composition Information" display="https://www.gs1us.org/resources/rosettanet/standards-library/pip-directory/2a-preperation-for-distribution" xr:uid="{1213280C-3CF3-41CB-96AA-BBFE0FDA60E5}"/>
    <hyperlink ref="T122" r:id="rId17" tooltip="2A15 - Request Material Composition Information" display="https://www.gs1us.org/resources/rosettanet/standards-library/pip-directory/2a-preperation-for-distribution" xr:uid="{D21775D4-E305-4661-B76F-9AA2AC737D0C}"/>
    <hyperlink ref="T123" r:id="rId18" tooltip="2A16 - Distribute Engineering Information Inquiry" display="https://www.gs1us.org/resources/rosettanet/standards-library/pip-directory/2a-preperation-for-distribution" xr:uid="{6253A172-025F-46AE-9148-70EB7E11C35C}"/>
    <hyperlink ref="T124" r:id="rId19" tooltip="2A17 - Notify of Certificate of Analysis" display="https://www.gs1us.org/resources/rosettanet/standards-library/pip-directory/2a-preperation-for-distribution" xr:uid="{365014B6-4E12-474C-818F-87B72E3D3A02}"/>
    <hyperlink ref="T125" r:id="rId20" tooltip="2A18 - Notify of Certificate of Analysis Response" display="https://www.gs1us.org/resources/rosettanet/standards-library/pip-directory/2a-preperation-for-distribution" xr:uid="{2BC85B14-7703-49C2-A1E7-5F71A3F35807}"/>
    <hyperlink ref="T131" r:id="rId21" tooltip="2B1 - Change Basic Product Information" display="https://www.gs1us.org/resources/rosettanet/standards-library/pip-directory/2b-product-change-notification" xr:uid="{BD014FE1-C8F5-4899-89A4-6AD154B7B807}"/>
    <hyperlink ref="T132" r:id="rId22" tooltip="2B2 - Change Marketing Information" display="https://www.gs1us.org/resources/rosettanet/standards-library/pip-directory/2b-product-change-notification" xr:uid="{97F08264-5906-4701-B565-3B817EEC4834}"/>
    <hyperlink ref="T133" r:id="rId23" tooltip="2B3 - Change Sales Promotion &amp; Rebate Information" display="https://www.gs1us.org/resources/rosettanet/standards-library/pip-directory/2b-product-change-notification" xr:uid="{C5C6FC25-C1FC-4AD3-97F9-59F4FEDD449F}"/>
    <hyperlink ref="T134" r:id="rId24" tooltip="2B4'" display="https://www.gs1us.org/resources/rosettanet/standards-library/pip-directory/2b-product-change-notification" xr:uid="{C8C49CE0-2C18-4635-9F90-C0EBB62B75D8}"/>
    <hyperlink ref="T135" r:id="rId25" tooltip="2B5 - Change Product Lifecycle Information" display="https://www.gs1us.org/resources/rosettanet/standards-library/pip-directory/2b-product-change-notification" xr:uid="{E62E376A-27F4-4995-8AF1-AB910B36233D}"/>
    <hyperlink ref="T136" r:id="rId26" tooltip="2B7 - Notify of Product Change" display="https://www.gs1us.org/resources/rosettanet/standards-library/pip-directory/2b-product-change-notification" xr:uid="{A4B4FC08-4BAE-4EA8-AA70-1A2B5D6D3830}"/>
    <hyperlink ref="T137" r:id="rId27" tooltip="2B8 - Notify of Product Change Query" display="https://www.gs1us.org/resources/rosettanet/standards-library/pip-directory/2b-product-change-notification" xr:uid="{392BED41-FC2F-405A-936F-CABE9B19A591}"/>
    <hyperlink ref="T138" r:id="rId28" tooltip="2B9 - Notify of Product Change Acceptance" display="https://www.gs1us.org/resources/rosettanet/standards-library/pip-directory/2b-product-change-notification" xr:uid="{D0CACF8D-1EDF-415B-99CA-12D00CF3A5AA}"/>
    <hyperlink ref="T139" r:id="rId29" tooltip="2C1 - Distribute Engineering Change Status" display="https://www.gs1us.org/resources/rosettanet/standards-library/pip-directory/2c-product-design-information" xr:uid="{F56E15AC-CB19-42CC-B651-1841E85ECBC9}"/>
    <hyperlink ref="T143" r:id="rId30" tooltip="2C2 - Request Engineering Change" display="https://www.gs1us.org/resources/rosettanet/standards-library/pip-directory/2c-product-design-information" xr:uid="{E2A9BF4B-7D73-4DB3-BBD3-08472019B4F3}"/>
    <hyperlink ref="T144" r:id="rId31" tooltip="2C3 - Distribute Engineering Change Response" display="https://www.gs1us.org/resources/rosettanet/standards-library/pip-directory/2c-product-design-information" xr:uid="{4AE0634B-D7D5-45E2-B764-4EC23694998A}"/>
    <hyperlink ref="T145" r:id="rId32" tooltip="2C4 - Request Engineering Change Approval" display="https://www.gs1us.org/resources/rosettanet/standards-library/pip-directory/2c-product-design-information" xr:uid="{1AF6E0AE-6062-424A-A873-B3427BF88061}"/>
    <hyperlink ref="T146" r:id="rId33" tooltip="2C5 - Notify of Engineering Change Order" display="https://www.gs1us.org/resources/rosettanet/standards-library/pip-directory/2c-product-design-information" xr:uid="{3B7017AE-6F9C-44F0-9A1D-F08798991C2C}"/>
    <hyperlink ref="T147" r:id="rId34" tooltip="2C6 - Notify of Engineering Change Implementation Plan" display="https://www.gs1us.org/resources/rosettanet/standards-library/pip-directory/2c-product-design-information" xr:uid="{29A0BAA4-8313-4FD8-8B2F-642E6BC2B078}"/>
    <hyperlink ref="T148" r:id="rId35" tooltip="2C7 - Request Bill Of Material" display="https://www.gs1us.org/resources/rosettanet/standards-library/pip-directory/2c-product-design-information" xr:uid="{52DA32D5-D2F0-4A6D-9417-A65817C73395}"/>
    <hyperlink ref="T149" r:id="rId36" tooltip="2C8 - Notify of Bill Of Material" display="https://www.gs1us.org/resources/rosettanet/standards-library/pip-directory/2c-product-design-information" xr:uid="{47392AF8-E7C4-49B3-A87F-DA96920962F2}"/>
    <hyperlink ref="T150" r:id="rId37" tooltip="2C9 - Request Approved Manufacturer List" display="https://www.gs1us.org/resources/rosettanet/standards-library/pip-directory/2c-product-design-information" xr:uid="{BDF740E9-0FE2-4D88-829C-55F928B9BC15}"/>
    <hyperlink ref="T140" r:id="rId38" tooltip="2C10 - Notify of Approved Manufacturer List" display="https://www.gs1us.org/resources/rosettanet/standards-library/pip-directory/2c-product-design-information" xr:uid="{5BA68159-D683-4869-8B05-2D335CC474A7}"/>
    <hyperlink ref="T141" r:id="rId39" tooltip="2C11 - Notify of Approved Manufacturer List Request" display="https://www.gs1us.org/resources/rosettanet/standards-library/pip-directory/2c-product-design-information" xr:uid="{CBEEFCDD-72C6-468D-999D-DCBA066DA648}"/>
    <hyperlink ref="T142" r:id="rId40" tooltip="2C12 - " display="https://www.gs1us.org/resources/rosettanet/standards-library/pip-directory/2c-product-design-information" xr:uid="{F145A86D-027E-4B48-9093-769DDF12540B}"/>
    <hyperlink ref="T178" r:id="rId41" tooltip="3A1 - Request Quote" display="https://www.gs1us.org/resources/rosettanet/standards-library/pip-directory/3a-quotes-pricing-availability" xr:uid="{105984D4-9A57-4B27-91A6-4EB7D9D1F5C6}"/>
    <hyperlink ref="T187" r:id="rId42" tooltip="3A2 - Request Price and Availability" display="https://www.gs1us.org/resources/rosettanet/standards-library/pip-directory/3a-quotes-pricing-availability" xr:uid="{5842982F-A840-4B48-9C65-561F3EA31942}"/>
    <hyperlink ref="T193" r:id="rId43" tooltip="3A3 - Request Shopping Cart Transfer" display="https://www.gs1us.org/resources/rosettanet/standards-library/pip-directory/3a-purchase-orders" xr:uid="{7DC0182D-ABA3-4606-8986-880D464B4DFA}"/>
    <hyperlink ref="T194" r:id="rId44" tooltip="3A4 - Request Purchase Order" display="https://www.gs1us.org/resources/rosettanet/standards-library/pip-directory/3a-purchase-orders" xr:uid="{45C6E4DA-6378-47F7-ADF1-494818F2E2A2}"/>
    <hyperlink ref="T195" r:id="rId45" tooltip="3A5 - Query Order Status" display="https://www.gs1us.org/resources/rosettanet/standards-library/pip-directory/3a-purchase-orders" xr:uid="{68204F70-E408-43C3-B7A2-A35145EA4E06}"/>
    <hyperlink ref="T196" r:id="rId46" tooltip="3A6 - Distribute Order Status" display="https://www.gs1us.org/resources/rosettanet/standards-library/pip-directory/3a-purchase-orders" xr:uid="{2747AC9C-9D08-4036-AB53-6C123C45D81F}"/>
    <hyperlink ref="T197" r:id="rId47" tooltip="3A7 - Notify of Purchase Order Update" display="https://www.gs1us.org/resources/rosettanet/standards-library/pip-directory/3a-purchase-orders" xr:uid="{D03462B1-D3C5-4054-AAA7-00ED95DFBF26}"/>
    <hyperlink ref="T198" r:id="rId48" tooltip="3A8 - Request Purchase Order Change" display="https://www.gs1us.org/resources/rosettanet/standards-library/pip-directory/3a-purchase-orders" xr:uid="{00B568F7-D2C6-4FC2-8877-C6F5E51A1A4B}"/>
    <hyperlink ref="T199" r:id="rId49" tooltip="3A9 - Request Purchase Order Cancellation" display="https://www.gs1us.org/resources/rosettanet/standards-library/pip-directory/3a-purchase-orders" xr:uid="{ED6624E7-2EE8-4C4A-BB6F-904887B5FEBA}"/>
    <hyperlink ref="T179" r:id="rId50" tooltip="3A10 - Notify of Quote Acknowledgment" display="https://www.gs1us.org/resources/rosettanet/standards-library/pip-directory/3a-quotes-pricing-availability" xr:uid="{A226A226-8AAE-4CBA-A7A7-EE4356FAE28A}"/>
    <hyperlink ref="T180" r:id="rId51" tooltip="3A13 - Notify of Purchase Order Information" display="https://www.gs1us.org/resources/rosettanet/standards-library/pip-directory/3a-quotes-pricing-availability" xr:uid="{0851AAE5-1223-485B-809F-90C9D9BE9885}"/>
    <hyperlink ref="T181" r:id="rId52" tooltip="3A14 - Distribute Planned Order" display="https://www.gs1us.org/resources/rosettanet/standards-library/pip-directory/3a-purchase-orders" xr:uid="{E04B991A-A99D-4323-A521-F74574CD420F}"/>
    <hyperlink ref="T182" r:id="rId53" tooltip="3A15 - Notify of Quote Request" display="https://www.gs1us.org/resources/rosettanet/standards-library/pip-directory/3a-quotes-pricing-availability" xr:uid="{1246B281-FA0B-414F-851F-D03A4400F7C2}"/>
    <hyperlink ref="T183" r:id="rId54" tooltip="3A16 - Notify of Quote Confirmation" display="https://www.gs1us.org/resources/rosettanet/standards-library/pip-directory/3a-quotes-pricing-availability" xr:uid="{FE3B7944-5C9F-418F-8135-D26CFDC8E546}"/>
    <hyperlink ref="T184" r:id="rId55" tooltip="3A17 - Distribute Price And Availability Request" display="https://www.gs1us.org/resources/rosettanet/standards-library/pip-directory/3a-quotes-pricing-availability" xr:uid="{C2F00076-5B97-4225-9E68-2D392279F056}"/>
    <hyperlink ref="T185" r:id="rId56" tooltip="3A18 - Distribute Price And Availability Response" display="https://www.gs1us.org/resources/rosettanet/standards-library/pip-directory/3a-quotes-pricing-availability" xr:uid="{D5EB8965-0BF3-4312-AA09-7E7FB67CD700}"/>
    <hyperlink ref="T186" r:id="rId57" tooltip="3A19 - Notify of Purchase Order Request" display="https://www.gs1us.org/resources/rosettanet/standards-library/pip-directory/3a-purchase-orders" xr:uid="{01FD7391-36EF-4553-8ECB-FE1B686FC77A}"/>
    <hyperlink ref="T188" r:id="rId58" tooltip="3A20 - Notify of Purchase Order Confirmation" display="https://www.gs1us.org/resources/rosettanet/standards-library/pip-directory/3a-purchase-orders" xr:uid="{8EF88FDD-7CDC-4C6E-A158-9ABA77FF6704}"/>
    <hyperlink ref="T189" r:id="rId59" tooltip="3A21 - Notify of Purchase Order Change Request" display="https://www.gs1us.org/resources/rosettanet/standards-library/pip-directory/3a-purchase-orders" xr:uid="{27C4B01F-F1D4-49AD-B8EA-2B5742F19284}"/>
    <hyperlink ref="T190" r:id="rId60" tooltip="3A22 - Notify of Purchase Order Change Confirmation" display="https://www.gs1us.org/resources/rosettanet/standards-library/pip-directory/3a-purchase-orders" xr:uid="{5E87AA9D-11E0-4C89-87F5-9BBFA0134831}"/>
    <hyperlink ref="T191" r:id="rId61" tooltip="3A23" display="https://www.gs1us.org/resources/rosettanet/standards-library/pip-directory/3a-purchase-orders" xr:uid="{E028DB2F-FFBB-4F08-A67E-CA14063A59CF}"/>
    <hyperlink ref="T192" r:id="rId62" tooltip="3A24 - Notify of Purchase Order Cancellation Confirmation" display="https://www.gs1us.org/resources/rosettanet/standards-library/pip-directory/3a-purchase-orders" xr:uid="{4E4E4E32-286D-4AD0-8A60-E71B5728DAD5}"/>
    <hyperlink ref="T200" r:id="rId63" tooltip="3B1 - Distribute Transportation Projection" display="https://www.gs1us.org/resources/rosettanet/standards-library/pip-directory/3b-transportation-and-distribution" xr:uid="{3B68B82B-667E-4E62-B387-813E9243E1B8}"/>
    <hyperlink ref="T207" r:id="rId64" tooltip="3B2 - Notify of Advance Shipment" display="https://www.gs1us.org/resources/rosettanet/standards-library/pip-directory/3b-transportation-and-distribution" xr:uid="{524D1DAF-7D45-4E4C-820E-BB15D2784BA2}"/>
    <hyperlink ref="T211" r:id="rId65" tooltip="3B3 - Distribute Shipment Status" display="https://www.gs1us.org/resources/rosettanet/standards-library/pip-directory/3b-transportation-and-distribution" xr:uid="{C48C105A-931B-4E02-9DAB-0D0D16FA47A9}"/>
    <hyperlink ref="T212" r:id="rId66" tooltip="3B4 - Query Shipment Status" display="https://www.gs1us.org/resources/rosettanet/standards-library/pip-directory/3b-transportation-and-distribution" xr:uid="{A40E52CB-D292-40F2-826F-83C1E3368775}"/>
    <hyperlink ref="T213" r:id="rId67" tooltip="3B5 - Request Shipment Change" display="https://www.gs1us.org/resources/rosettanet/standards-library/pip-directory/3b-transportation-and-distribution" xr:uid="{6072060D-31DF-49FF-B41C-6C83C1E21D8D}"/>
    <hyperlink ref="T214" r:id="rId68" tooltip="3B6 - Notify of Shipments Tendered" display="https://www.gs1us.org/resources/rosettanet/standards-library/pip-directory/3b-transportation-and-distribution" xr:uid="{E9FDDD9F-34BF-412D-8968-FD72FBF2A957}"/>
    <hyperlink ref="T201" r:id="rId69" tooltip="3B11 - Notify Of Shipping Order" display="https://www.gs1us.org/resources/rosettanet/standards-library/pip-directory/3b-transportation-and-distribution" xr:uid="{AFCBB4D3-40B5-4A66-A4AF-F0F0DC8B4FC1}"/>
    <hyperlink ref="T202" r:id="rId70" tooltip="3B12 - Request Shipping Order" display="https://www.gs1us.org/resources/rosettanet/standards-library/pip-directory/3b-transportation-and-distribution" xr:uid="{492684E2-2D0B-407A-87E4-CF343034A779}"/>
    <hyperlink ref="T203" r:id="rId71" tooltip="3B13 - Notify of Shipping Order Confirmation" display="https://www.gs1us.org/resources/rosettanet/standards-library/pip-directory/3b-transportation-and-distribution" xr:uid="{DC152A12-8E1A-4B58-B879-EF0FBB1035F8}"/>
    <hyperlink ref="T204" r:id="rId72" tooltip="3B14 - Request Shipping Order Cancellation" display="https://www.gs1us.org/resources/rosettanet/standards-library/pip-directory/3b-transportation-and-distribution" xr:uid="{AA72AEE2-98C2-4EAA-88D5-31D8C3E02BBD}"/>
    <hyperlink ref="T205" r:id="rId73" tooltip="3B18 - Notify of Shipment Documentation" display="https://www.gs1us.org/resources/rosettanet/standards-library/pip-directory/3b-transportation-and-distribution" xr:uid="{B38F1269-7C45-448B-B902-528A344BDABD}"/>
    <hyperlink ref="T206" r:id="rId74" tooltip="3B19 - Notify of Shipping Order Request" display="https://www.gs1us.org/resources/rosettanet/standards-library/pip-directory/3b-transportation-and-distribution" xr:uid="{ACDD4BCB-D441-4DF0-80D4-43A1252D66EC}"/>
    <hyperlink ref="T208" r:id="rId75" tooltip="3B20 - Notify of Shipping Order Confirmation" display="https://www.gs1us.org/resources/rosettanet/standards-library/pip-directory/3b-transportation-and-distribution" xr:uid="{51F39427-9D03-417B-A0C5-0A252CF74DE6}"/>
    <hyperlink ref="T209" r:id="rId76" tooltip="3B21 - Notify of Shipping Order Cancellation Request" display="https://www.gs1us.org/resources/rosettanet/standards-library/pip-directory/3b-transportation-and-distribution" xr:uid="{E3528B45-3E6E-421D-9186-8F7DEFDE1DB4}"/>
    <hyperlink ref="T210" r:id="rId77" tooltip="3B22 - Notify of Shipping Order Cancellation Confirmation" display="https://www.gs1us.org/resources/rosettanet/standards-library/pip-directory/3b-transportation-and-distribution" xr:uid="{ADBC29E1-B400-4F8C-8E9F-DA856CCFEFAE}"/>
    <hyperlink ref="T215" r:id="rId78" tooltip="3C1 - Return Product" display="https://www.gs1us.org/resources/rosettanet/standards-library/pip-directory/3c-returns-and-finance" xr:uid="{0D611A1B-C9EA-4763-9270-F5DDEA0B0F18}"/>
    <hyperlink ref="T216" r:id="rId79" tooltip="3C2 - Request Financing Approval" display="https://www.gs1us.org/resources/rosettanet/standards-library/pip-directory/3c-returns-and-finance" xr:uid="{54EA9B36-F821-4AE8-A9CA-536FB2CE39EF}"/>
    <hyperlink ref="T217" r:id="rId80" tooltip="3C3 - Notify of Invoice" display="https://www.gs1us.org/resources/rosettanet/standards-library/pip-directory/3c-returns-and-finance" xr:uid="{109DF9A5-7FBE-413F-B7F3-87EC078483D3}"/>
    <hyperlink ref="T218" r:id="rId81" tooltip="3C4 - Notify of Invoice Reject" display="https://www.gs1us.org/resources/rosettanet/standards-library/pip-directory/3c-returns-and-finance" xr:uid="{301598FD-5504-4C0E-BC09-C073802E86C3}"/>
    <hyperlink ref="T219" r:id="rId82" tooltip="3C5 - Notify of Billing Statement" display="https://www.gs1us.org/resources/rosettanet/standards-library/pip-directory/3c-returns-and-finance" xr:uid="{1B1B7480-9F4D-4159-973C-788BE556416B}"/>
    <hyperlink ref="T220" r:id="rId83" tooltip="3C6 - Notify of Remittance Advice" display="https://www.gs1us.org/resources/rosettanet/standards-library/pip-directory/3c-returns-and-finance" xr:uid="{464B5B8A-C359-4457-8575-2D123B91E89D}"/>
    <hyperlink ref="T221" r:id="rId84" tooltip="3C7 - Notify of Self-Billing Invoice" display="https://www.gs1us.org/resources/rosettanet/standards-library/pip-directory/3c-returns-and-finance" xr:uid="{9FEC33D2-4D85-4B61-AF36-3FD558E78986}"/>
    <hyperlink ref="T222" r:id="rId85" tooltip="3C8 - Notify of Return Product Request" display="https://www.gs1us.org/resources/rosettanet/standards-library/pip-directory/3c-returns-and-finance" xr:uid="{D7C981B0-8B94-4C8A-AB08-D28A644F2128}"/>
    <hyperlink ref="T223" r:id="rId86" tooltip="3C9 - Notify of Return Product Confirmation" display="https://www.gs1us.org/resources/rosettanet/standards-library/pip-directory/3c-returns-and-finance" xr:uid="{70EA8FC4-3DC6-4D32-8CA8-7BD58B359DCF}"/>
    <hyperlink ref="T263" r:id="rId87" tooltip="4A1 - Notify of Strategic Forecast" display="https://www.gs1us.org/resources/rosettanet/standards-library/pip-directory/4a-collaborative-forcasting" xr:uid="{A7F11866-8B4E-4D2C-8492-3D0D17570C9A}"/>
    <hyperlink ref="T264" r:id="rId88" tooltip="4A2 - Notify of Embedded Release Forecast" display="https://www.gs1us.org/resources/rosettanet/standards-library/pip-directory/4a-collaborative-forcasting" xr:uid="{5BC70A2A-D828-483C-B86F-3F53BC7150D3}"/>
    <hyperlink ref="T265" r:id="rId89" tooltip="4A3 - Notify of Threshold Release Forecast" display="https://www.gs1us.org/resources/rosettanet/standards-library/pip-directory/4a-collaborative-forcasting" xr:uid="{EE3A09A9-954C-45F7-832F-92E60D7C147C}"/>
    <hyperlink ref="T266" r:id="rId90" tooltip="4A4 - Notify of Planning Release Forecast" display="https://www.gs1us.org/resources/rosettanet/standards-library/pip-directory/4a-collaborative-forcasting" xr:uid="{D968F66B-60C4-44D3-B75E-E3FFFE3E468D}"/>
    <hyperlink ref="T267" r:id="rId91" tooltip="4A5 - Notify of Forecast Reply" display="https://www.gs1us.org/resources/rosettanet/standards-library/pip-directory/4a-collaborative-forcasting" xr:uid="{B86F1C75-C4C8-4AD9-8910-E0113F8B955D}"/>
    <hyperlink ref="T268" r:id="rId92" tooltip="4A6 - Notify of Forecasting Exception" display="https://www.gs1us.org/resources/rosettanet/standards-library/pip-directory/4a-collaborative-forcasting" xr:uid="{322F09D3-7752-4739-91DB-713E9681E5F2}"/>
    <hyperlink ref="T269" r:id="rId93" tooltip="4B2 - Notify of Shipment Receipt" display="https://www.gs1us.org/resources/rosettanet/standards-library/pip-directory/4b-c-d-e-inventory-and-reporting" xr:uid="{049D5FDB-4766-4C49-9B6C-6AC6D2496C26}"/>
    <hyperlink ref="T270" r:id="rId94" tooltip="4B3 - Notify of Consumption" display="https://www.gs1us.org/resources/rosettanet/standards-library/pip-directory/4b-c-d-e-inventory-and-reporting" xr:uid="{94F04FDB-CC4C-4866-972A-55B4B86E3C0E}"/>
    <hyperlink ref="T271" r:id="rId95" tooltip="4C1 - Distribute Inventory Report" display="https://www.gs1us.org/resources/rosettanet/standards-library/pip-directory/4b-c-d-e-inventory-and-reporting" xr:uid="{82AFB5E5-9092-41B0-8B57-29F5A7BC209B}"/>
    <hyperlink ref="T272" r:id="rId96" tooltip="4D1 - Notify of Material Release" display="https://www.gs1us.org/resources/rosettanet/standards-library/pip-directory/4b-c-d-e-inventory-and-reporting" xr:uid="{A93E678D-AC18-4AEB-9DE4-AF0D109DFC3A}"/>
    <hyperlink ref="T273" r:id="rId97" tooltip="4E1 - Notify of Sales Report" display="https://www.gs1us.org/resources/rosettanet/standards-library/pip-directory/4b-c-d-e-inventory-and-reporting" xr:uid="{63E4917F-BA24-4380-8F32-30E975E5EAD2}"/>
    <hyperlink ref="T274" r:id="rId98" tooltip="4E2 - Notify of Sales Report Acknowledgement" display="https://www.gs1us.org/resources/rosettanet/standards-library/pip-directory/4b-c-d-e-inventory-and-reporting" xr:uid="{11FAD5AA-7855-4CCB-AA62-8438DE03B4BB}"/>
    <hyperlink ref="T287" r:id="rId99" tooltip="5C1 - Distribute Product List" display="https://www.gs1us.org/resources/rosettanet/standards-library/pip-directory/5c-design-win-management" xr:uid="{93D3E214-B629-40A1-A068-FEE44E5A43CF}"/>
    <hyperlink ref="T288" r:id="rId100" tooltip="5C2 - Request Design Registration" display="https://www.gs1us.org/resources/rosettanet/standards-library/pip-directory/5c-design-win-management" xr:uid="{BEAC1083-E740-4D83-8165-31FA6AEBDA13}"/>
    <hyperlink ref="T289" r:id="rId101" tooltip="5C3 - Create Design Win" display="https://www.gs1us.org/resources/rosettanet/standards-library/pip-directory/5c-design-win-management" xr:uid="{9DDD77F0-CA0B-4A51-A140-AC7E8B5D5B34}"/>
    <hyperlink ref="T290" r:id="rId102" tooltip="5C4 - Distribute Registration Status" display="https://www.gs1us.org/resources/rosettanet/standards-library/pip-directory/5c-design-win-management" xr:uid="{0DDAED6B-3CF6-4D09-8F37-1AF6503D8DD4}"/>
    <hyperlink ref="T291" r:id="rId103" tooltip="5C5 - Query Registration Status" display="https://www.gs1us.org/resources/rosettanet/standards-library/pip-directory/5c-design-win-management" xr:uid="{3F64ABE0-9D10-4486-8BC2-2503FF1D0357}"/>
    <hyperlink ref="T292" r:id="rId104" tooltip="5C6 - Notify of Design Registration Request" display="https://www.gs1us.org/resources/rosettanet/standards-library/pip-directory/5c-design-win-management" xr:uid="{01425E80-DFE3-4111-8727-B0F3F4AB7D01}"/>
    <hyperlink ref="T293" r:id="rId105" tooltip="5C7 - Notify of Design Registration Confirmation" display="https://www.gs1us.org/resources/rosettanet/standards-library/pip-directory/5c-design-win-management" xr:uid="{92E96808-E73C-4255-870B-CD3A8072C350}"/>
    <hyperlink ref="T294" r:id="rId106" tooltip="5C8 - Notify of Win Claim Request" display="https://www.gs1us.org/resources/rosettanet/standards-library/pip-directory/5c-design-win-management" xr:uid="{E204958B-9C1F-489D-933D-844781250054}"/>
    <hyperlink ref="T295" r:id="rId107" tooltip="5C9 - Notify of Win Claim Confirmation" display="https://www.gs1us.org/resources/rosettanet/standards-library/pip-directory/5c-design-win-management" xr:uid="{BEFDD136-71D9-4033-846E-E7D58EDA338E}"/>
    <hyperlink ref="T296" r:id="rId108" tooltip="5D1 - Request Ship from Stock and Debit Authorization" display="https://www.gs1us.org/resources/rosettanet/standards-library/pip-directory/5d-ship-from-stock-and-debit" xr:uid="{C882D14F-1E61-491E-B508-B97203B3E112}"/>
    <hyperlink ref="T298" r:id="rId109" tooltip="5D2 - Notify of Blanket Ship from Stock and Debit Authorization" display="https://www.gs1us.org/resources/rosettanet/standards-library/pip-directory/5d-ship-from-stock-and-debit" xr:uid="{93F7DC8B-7264-40ED-828D-0EAE2092956C}"/>
    <hyperlink ref="T299" r:id="rId110" tooltip="5D3 - Distribute Open Ship from Stock and Debit Authorization Status" display="https://www.gs1us.org/resources/rosettanet/standards-library/pip-directory/5d-ship-from-stock-and-debit" xr:uid="{E137B6F5-2DDD-4AAF-BF92-C5D056DE0365}"/>
    <hyperlink ref="T300" r:id="rId111" tooltip="5D4 - Query Ship from Stock and Debit Authorization Status" display="https://www.gs1us.org/resources/rosettanet/standards-library/pip-directory/5d-ship-from-stock-and-debit" xr:uid="{944E38DA-16F6-4EC0-BE44-0C45AD1645E9}"/>
    <hyperlink ref="T301" r:id="rId112" tooltip="5D5 - Create Ship from Stock and Debit Claim Status" display="https://www.gs1us.org/resources/rosettanet/standards-library/pip-directory/5d-ship-from-stock-and-debit" xr:uid="{1A116DA8-799B-487D-82D0-C6D5C7EF8D5E}"/>
    <hyperlink ref="T302" r:id="rId113" tooltip="5D6 - Notify of Ship from Stock and Debit Claim Status" display="https://www.gs1us.org/resources/rosettanet/standards-library/pip-directory/5d-ship-from-stock-and-debit" xr:uid="{A71565F2-0A24-4239-BAD1-C708A6F1A89B}"/>
    <hyperlink ref="T303" r:id="rId114" tooltip="5D7 - Notify of Ship From Stock And Debit Authorization Request" display="https://www.gs1us.org/resources/rosettanet/standards-library/pip-directory/5d-ship-from-stock-and-debit" xr:uid="{53F93B37-9D9C-460C-87C6-9422D26CB0C6}"/>
    <hyperlink ref="T304" r:id="rId115" tooltip="5D8 - Notify of Ship From Stock And Debit Authorization Confirmation" display="https://www.gs1us.org/resources/rosettanet/standards-library/pip-directory/5d-ship-from-stock-and-debit" xr:uid="{E684273E-B0F8-4F6F-A89C-F249049A2609}"/>
    <hyperlink ref="T305" r:id="rId116" tooltip="5D9 - Notify of Ship From Stock And Debit Claim Request" display="https://www.gs1us.org/resources/rosettanet/standards-library/pip-directory/5d-ship-from-stock-and-debit" xr:uid="{AD4F7CA4-3E50-447B-9E7E-3B478685F149}"/>
    <hyperlink ref="T297" r:id="rId117" tooltip="5D10 - Notify of Ship From Stock And Debit Claim Confirmation" display="https://www.gs1us.org/resources/rosettanet/standards-library/pip-directory/5d-ship-from-stock-and-debit" xr:uid="{EE756A08-ECEF-47C7-B7B7-ACBD9FD59167}"/>
    <hyperlink ref="T313" r:id="rId118" tooltip="6A1 - Notify of Service Contract Request" display="https://www.gs1us.org/resources/rosettanet/standards-library/pip-directory/6-service-and-support" xr:uid="{2FFA723A-2268-4D7C-9FCD-4FCA96D4B196}"/>
    <hyperlink ref="T314" r:id="rId119" tooltip="6A2 - Notify of Service Contract Reply" display="https://www.gs1us.org/resources/rosettanet/standards-library/pip-directory/6-service-and-support" xr:uid="{C626A658-E4A5-4ADC-B10D-CE97F32A9F7E}"/>
    <hyperlink ref="T315" r:id="rId120" tooltip="6C1 - Query Service Entitlement" display="https://www.gs1us.org/resources/rosettanet/standards-library/pip-directory/6-service-and-support" xr:uid="{C9902DC3-84F7-4F71-AF3E-C98607A9333C}"/>
    <hyperlink ref="T316" r:id="rId121" tooltip="6C2 - Request Warranty Claim" display="https://www.gs1us.org/resources/rosettanet/standards-library/pip-directory/6-service-and-support" xr:uid="{E6CCB2F2-87D5-4EE8-A1F5-EDC90464EDD1}"/>
    <hyperlink ref="T317" r:id="rId122" tooltip="6C3 - Notify of Case Request" display="https://www.gs1us.org/resources/rosettanet/standards-library/pip-directory/6-service-and-support" xr:uid="{5FDB592A-06FD-438A-9366-18478DAE1DAD}"/>
    <hyperlink ref="T318" r:id="rId123" tooltip="6C4 - Notify of Case Confirmation" display="https://www.gs1us.org/resources/rosettanet/standards-library/pip-directory/6-service-and-support" xr:uid="{FB4D280B-C1B3-4569-BCFC-B477F306784A}"/>
    <hyperlink ref="T319" r:id="rId124" tooltip="6C5 - Distribute Service Entitlement Query" display="https://www.gs1us.org/resources/rosettanet/standards-library/pip-directory/6-service-and-support" xr:uid="{E3F13461-D40C-4F64-8210-D732EB2203D1}"/>
    <hyperlink ref="T320" r:id="rId125" tooltip="6C6 - Distribute Service Entitlement Status Response" display="https://www.gs1us.org/resources/rosettanet/standards-library/pip-directory/6-service-and-support" xr:uid="{126EE352-6068-401B-A024-CF3A1FAA111B}"/>
    <hyperlink ref="T321" r:id="rId126" tooltip="6C7 - Notify of Warranty Claim Request" display="https://www.gs1us.org/resources/rosettanet/standards-library/pip-directory/6-service-and-support" xr:uid="{322CFB2A-0E7A-4E5C-AA3F-89D3606DEDEA}"/>
    <hyperlink ref="T322" r:id="rId127" tooltip="6C8 - Notify of Warranty Claim Confirmation" display="https://www.gs1us.org/resources/rosettanet/standards-library/pip-directory/6-service-and-support" xr:uid="{A35BB033-4EC2-4C8D-ACF4-2D1FB1EA2D34}"/>
    <hyperlink ref="T326" r:id="rId128" tooltip="7B1 - Distribute Work in Process" display="https://www.gs1us.org/resources/rosettanet/standards-library/pip-directory/7-manufacturing" xr:uid="{41A0A41E-BEB5-4820-A5A5-A8DEA765C5D2}"/>
    <hyperlink ref="T327" r:id="rId129" tooltip="7B2 - Query Work in Process" display="https://www.gs1us.org/resources/rosettanet/standards-library/pip-directory/7-manufacturing" xr:uid="{04D25662-B20A-41A3-9423-7451AEFA1743}"/>
    <hyperlink ref="T328" r:id="rId130" tooltip="7B5 - Notify Of Manufacturing Work Order" display="https://www.gs1us.org/resources/rosettanet/standards-library/pip-directory/7-manufacturing" xr:uid="{C3BEC622-9C3D-4A45-AD74-983C8D500640}"/>
    <hyperlink ref="T329" r:id="rId131" tooltip="7B6 - Notify of Manufacturing Work Order Reply" display="https://www.gs1us.org/resources/rosettanet/standards-library/pip-directory/7-manufacturing" xr:uid="{DE439A13-C0A2-4742-860A-AD169B00467D}"/>
    <hyperlink ref="T330" r:id="rId132" tooltip="7C6 - Distribute Product Quality Event Data" display="https://www.gs1us.org/resources/rosettanet/standards-library/pip-directory/7-manufacturing" xr:uid="{A48D9C09-ED93-4421-BCAD-E5A09A9B2DFC}"/>
    <hyperlink ref="T331" r:id="rId133" tooltip="7C7 - Notify of Semiconductor Test Data" display="https://www.gs1us.org/resources/rosettanet/standards-library/pip-directory/7-manufacturing" xr:uid="{B1BA7104-286D-4A57-B4A5-35FC7F2458F5}"/>
    <hyperlink ref="T332" r:id="rId134" tooltip="7C8 - Notify of Semiconductor Process Data" display="https://www.gs1us.org/resources/rosettanet/standards-library/pip-directory/7-manufacturing" xr:uid="{8054E413-5A04-4296-9D0A-831F7078ED59}"/>
  </hyperlinks>
  <pageMargins left="0.7" right="0.7" top="0.75" bottom="0.75" header="0.3" footer="0.3"/>
  <pageSetup paperSize="9" orientation="portrait" r:id="rId135"/>
  <headerFooter>
    <oddFooter>&amp;C_x000D_&amp;1#&amp;"Calibri"&amp;10&amp;K000000 DSV internal</oddFooter>
  </headerFooter>
  <extLst>
    <ext xmlns:x14="http://schemas.microsoft.com/office/spreadsheetml/2009/9/main" uri="{78C0D931-6437-407d-A8EE-F0AAD7539E65}">
      <x14:conditionalFormattings>
        <x14:conditionalFormatting xmlns:xm="http://schemas.microsoft.com/office/excel/2006/main">
          <x14:cfRule type="dataBar" id="{2FBF8FBD-3CF0-4E91-AEA6-C613DCDF0C79}">
            <x14:dataBar minLength="0" maxLength="100" gradient="0">
              <x14:cfvo type="autoMin"/>
              <x14:cfvo type="autoMax"/>
              <x14:negativeFillColor rgb="FFFF0000"/>
              <x14:axisColor rgb="FF000000"/>
            </x14:dataBar>
          </x14:cfRule>
          <xm:sqref>U4</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CCC75-7A1F-4BC9-A97C-8C8E8355D39C}">
  <sheetPr codeName="Sheet24"/>
  <dimension ref="A1:B3"/>
  <sheetViews>
    <sheetView workbookViewId="0">
      <pane ySplit="1" topLeftCell="A2" activePane="bottomLeft" state="frozenSplit"/>
      <selection pane="bottomLeft" activeCell="A12" sqref="A12"/>
    </sheetView>
  </sheetViews>
  <sheetFormatPr defaultRowHeight="15" x14ac:dyDescent="0.25"/>
  <cols>
    <col min="1" max="1" width="23.7109375" style="8" bestFit="1" customWidth="1"/>
    <col min="2" max="2" width="125.42578125" style="8" bestFit="1" customWidth="1"/>
  </cols>
  <sheetData>
    <row r="1" spans="1:2" s="16" customFormat="1" x14ac:dyDescent="0.25">
      <c r="A1" s="16" t="s">
        <v>348</v>
      </c>
      <c r="B1" s="16" t="s">
        <v>345</v>
      </c>
    </row>
    <row r="2" spans="1:2" x14ac:dyDescent="0.25">
      <c r="A2" s="8" t="s">
        <v>578</v>
      </c>
      <c r="B2" s="8" t="s">
        <v>740</v>
      </c>
    </row>
    <row r="3" spans="1:2" ht="45" x14ac:dyDescent="0.25">
      <c r="A3" s="8" t="s">
        <v>741</v>
      </c>
      <c r="B3" s="32" t="s">
        <v>742</v>
      </c>
    </row>
  </sheetData>
  <sheetProtection algorithmName="SHA-512" hashValue="C3ttKOMT8ZTElH+h+veVHTL6Ojyas4HAKhsAQlwmpmsFejx65prDW7bZqYXZDQJStTqbnueMXTHMp+M5c1OaUA==" saltValue="pU0HH6B2ZHOyP1g6+C8WbQ==" spinCount="100000" sheet="1" objects="1" scenarios="1"/>
  <autoFilter ref="A1:B2" xr:uid="{8F36B62B-E0B1-47B9-BA3C-9C171BDD8332}"/>
  <pageMargins left="0.7" right="0.7" top="0.75" bottom="0.75" header="0.3" footer="0.3"/>
  <headerFooter>
    <oddFooter>&amp;C_x000D_&amp;1#&amp;"Calibri"&amp;10&amp;K000000 DSV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file>

<file path=customXml/item2.xml><?xml version="1.0" encoding="utf-8"?>
<p:properties xmlns:p="http://schemas.microsoft.com/office/2006/metadata/properties" xmlns:xsi="http://www.w3.org/2001/XMLSchema-instance" xmlns:pc="http://schemas.microsoft.com/office/infopath/2007/PartnerControls">
  <documentManagement>
    <SharedWithUsers xmlns="782dc001-bedd-495f-9a84-9fd8a11ad293">
      <UserInfo>
        <DisplayName>Erica Esquivel - DSV</DisplayName>
        <AccountId>286</AccountId>
        <AccountType/>
      </UserInfo>
    </SharedWithUsers>
    <lcf76f155ced4ddcb4097134ff3c332f xmlns="57628ec5-f25b-4e57-ae8d-f6b0ea934ee9">
      <Terms xmlns="http://schemas.microsoft.com/office/infopath/2007/PartnerControls"/>
    </lcf76f155ced4ddcb4097134ff3c332f>
    <TaxCatchAll xmlns="11e76996-0ddf-41c1-b944-d1c4a0f572f1"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180F2B93C9A5145B3E41FF36BF06933" ma:contentTypeVersion="14" ma:contentTypeDescription="Create a new document." ma:contentTypeScope="" ma:versionID="81f1f9d2878a43e740b413479d515654">
  <xsd:schema xmlns:xsd="http://www.w3.org/2001/XMLSchema" xmlns:xs="http://www.w3.org/2001/XMLSchema" xmlns:p="http://schemas.microsoft.com/office/2006/metadata/properties" xmlns:ns2="57628ec5-f25b-4e57-ae8d-f6b0ea934ee9" xmlns:ns3="782dc001-bedd-495f-9a84-9fd8a11ad293" xmlns:ns4="11e76996-0ddf-41c1-b944-d1c4a0f572f1" targetNamespace="http://schemas.microsoft.com/office/2006/metadata/properties" ma:root="true" ma:fieldsID="f7b1845054d1c96d6f323c0a4040d158" ns2:_="" ns3:_="" ns4:_="">
    <xsd:import namespace="57628ec5-f25b-4e57-ae8d-f6b0ea934ee9"/>
    <xsd:import namespace="782dc001-bedd-495f-9a84-9fd8a11ad293"/>
    <xsd:import namespace="11e76996-0ddf-41c1-b944-d1c4a0f572f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628ec5-f25b-4e57-ae8d-f6b0ea934e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e879f6f-b325-4b8f-a44f-5cc8dac506d9"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82dc001-bedd-495f-9a84-9fd8a11ad29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1e76996-0ddf-41c1-b944-d1c4a0f572f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3ce9fec2-f82e-4bb4-992b-a6447f4da4e7}" ma:internalName="TaxCatchAll" ma:showField="CatchAllData" ma:web="782dc001-bedd-495f-9a84-9fd8a11ad2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D30F5E0-2C0C-4003-A901-17E21DD3519E}">
  <ds:schemaRefs>
    <ds:schemaRef ds:uri="http://schemas.microsoft.com/sharepoint/v3/contenttype/forms"/>
  </ds:schemaRefs>
</ds:datastoreItem>
</file>

<file path=customXml/itemProps2.xml><?xml version="1.0" encoding="utf-8"?>
<ds:datastoreItem xmlns:ds="http://schemas.openxmlformats.org/officeDocument/2006/customXml" ds:itemID="{18852960-67CD-46B4-9659-01883FBAD7B7}">
  <ds:schemaRefs>
    <ds:schemaRef ds:uri="http://purl.org/dc/terms/"/>
    <ds:schemaRef ds:uri="http://schemas.microsoft.com/office/2006/documentManagement/types"/>
    <ds:schemaRef ds:uri="http://schemas.microsoft.com/office/2006/metadata/properties"/>
    <ds:schemaRef ds:uri="http://purl.org/dc/dcmitype/"/>
    <ds:schemaRef ds:uri="11e76996-0ddf-41c1-b944-d1c4a0f572f1"/>
    <ds:schemaRef ds:uri="http://schemas.microsoft.com/office/infopath/2007/PartnerControls"/>
    <ds:schemaRef ds:uri="http://schemas.openxmlformats.org/package/2006/metadata/core-properties"/>
    <ds:schemaRef ds:uri="782dc001-bedd-495f-9a84-9fd8a11ad293"/>
    <ds:schemaRef ds:uri="57628ec5-f25b-4e57-ae8d-f6b0ea934ee9"/>
    <ds:schemaRef ds:uri="http://www.w3.org/XML/1998/namespace"/>
    <ds:schemaRef ds:uri="http://purl.org/dc/elements/1.1/"/>
  </ds:schemaRefs>
</ds:datastoreItem>
</file>

<file path=customXml/itemProps3.xml><?xml version="1.0" encoding="utf-8"?>
<ds:datastoreItem xmlns:ds="http://schemas.openxmlformats.org/officeDocument/2006/customXml" ds:itemID="{CEE68370-ACD6-45D9-A0D4-1D46B270950C}">
  <ds:schemaRefs>
    <ds:schemaRef ds:uri="http://schemas.microsoft.com/DataMashup"/>
  </ds:schemaRefs>
</ds:datastoreItem>
</file>

<file path=customXml/itemProps4.xml><?xml version="1.0" encoding="utf-8"?>
<ds:datastoreItem xmlns:ds="http://schemas.openxmlformats.org/officeDocument/2006/customXml" ds:itemID="{E7FED9EA-1DBF-4E56-8EE8-AFFBA046F5B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143</vt:i4>
      </vt:variant>
    </vt:vector>
  </HeadingPairs>
  <TitlesOfParts>
    <vt:vector size="167" baseType="lpstr">
      <vt:lpstr>Document Control</vt:lpstr>
      <vt:lpstr>Info</vt:lpstr>
      <vt:lpstr>Selection</vt:lpstr>
      <vt:lpstr>Master data</vt:lpstr>
      <vt:lpstr>Resource and file naming</vt:lpstr>
      <vt:lpstr>DSV FW</vt:lpstr>
      <vt:lpstr>Identities</vt:lpstr>
      <vt:lpstr>Encoding</vt:lpstr>
      <vt:lpstr>Source ID lookup</vt:lpstr>
      <vt:lpstr>User accounts</vt:lpstr>
      <vt:lpstr>Mailboxes</vt:lpstr>
      <vt:lpstr>Virtual roots</vt:lpstr>
      <vt:lpstr>Routing rules</vt:lpstr>
      <vt:lpstr>FTP Client</vt:lpstr>
      <vt:lpstr>SFTP Client</vt:lpstr>
      <vt:lpstr>SFTP Server SSH Keys</vt:lpstr>
      <vt:lpstr>AS2</vt:lpstr>
      <vt:lpstr>Certificates</vt:lpstr>
      <vt:lpstr>Mail client adapter settings</vt:lpstr>
      <vt:lpstr>SI HTTP URI settings</vt:lpstr>
      <vt:lpstr>HTTP(S) Client profiles</vt:lpstr>
      <vt:lpstr>Control Number</vt:lpstr>
      <vt:lpstr>DropDown - DO NOT EDIT</vt:lpstr>
      <vt:lpstr>Tech Team Notes</vt:lpstr>
      <vt:lpstr>AS2MessageType1</vt:lpstr>
      <vt:lpstr>AS2MessageType2</vt:lpstr>
      <vt:lpstr>AS2MessageType3</vt:lpstr>
      <vt:lpstr>AS2MessageType4</vt:lpstr>
      <vt:lpstr>AS2MIMESubTypes</vt:lpstr>
      <vt:lpstr>AS2VANSPartner</vt:lpstr>
      <vt:lpstr>BatchMailboxMessageType1</vt:lpstr>
      <vt:lpstr>BatchMailboxMessageType2</vt:lpstr>
      <vt:lpstr>BatchMailboxMessageType3</vt:lpstr>
      <vt:lpstr>BatchMailboxMessageType4</vt:lpstr>
      <vt:lpstr>BatchRootMailbox</vt:lpstr>
      <vt:lpstr>ClientFTPBPName1</vt:lpstr>
      <vt:lpstr>ClientFTPBPName1Test</vt:lpstr>
      <vt:lpstr>ClientFTPBPName2</vt:lpstr>
      <vt:lpstr>ClientFTPBPName2Test</vt:lpstr>
      <vt:lpstr>ClientFTPBPVersion1</vt:lpstr>
      <vt:lpstr>ClientFTPBPVersion2</vt:lpstr>
      <vt:lpstr>ClientFTPDNSOrIP</vt:lpstr>
      <vt:lpstr>ClientFTPDNSOrIPTest</vt:lpstr>
      <vt:lpstr>ClientFTPLoginName</vt:lpstr>
      <vt:lpstr>ClientFTPLoginNameTest</vt:lpstr>
      <vt:lpstr>ClientFTPMessageType1</vt:lpstr>
      <vt:lpstr>ClientFTPMessageType2</vt:lpstr>
      <vt:lpstr>ClientFTPNewProfileName1</vt:lpstr>
      <vt:lpstr>ClientFTPNewProfileName1Test</vt:lpstr>
      <vt:lpstr>ClientFTPNewProfileName2</vt:lpstr>
      <vt:lpstr>ClientFTPNewProfileName2Test</vt:lpstr>
      <vt:lpstr>'SFTP Client'!ClientFTPPartnerInCamelNotation</vt:lpstr>
      <vt:lpstr>ClientFTPPassword</vt:lpstr>
      <vt:lpstr>ClientFTPPasswordTest</vt:lpstr>
      <vt:lpstr>ClientFTPPort</vt:lpstr>
      <vt:lpstr>ClientFTPPortTest</vt:lpstr>
      <vt:lpstr>ClientFTPProfileName1</vt:lpstr>
      <vt:lpstr>ClientFTPProfileName1Test</vt:lpstr>
      <vt:lpstr>ClientFTPProfileName2</vt:lpstr>
      <vt:lpstr>ClientFTPProfileName2Test</vt:lpstr>
      <vt:lpstr>ClientHTTPCACertDescription</vt:lpstr>
      <vt:lpstr>ClientHTTPClientCertAuthUsed</vt:lpstr>
      <vt:lpstr>ClientHTTPLoginRequired</vt:lpstr>
      <vt:lpstr>'HTTP(S) Client profiles'!ClientHTTPProdDNSOrIP</vt:lpstr>
      <vt:lpstr>'HTTP(S) Client profiles'!ClientHTTPProdLoginName</vt:lpstr>
      <vt:lpstr>'HTTP(S) Client profiles'!ClientHTTPProdPortNumber</vt:lpstr>
      <vt:lpstr>'HTTP(S) Client profiles'!ClientHTTPTestDNSOrIP</vt:lpstr>
      <vt:lpstr>'HTTP(S) Client profiles'!ClientHTTPTestLoginName</vt:lpstr>
      <vt:lpstr>'HTTP(S) Client profiles'!ClientHTTPTestPortNumber</vt:lpstr>
      <vt:lpstr>ClientHTTPUseSSL</vt:lpstr>
      <vt:lpstr>ClientSFTPBPName1</vt:lpstr>
      <vt:lpstr>ClientSFTPBPName1Test</vt:lpstr>
      <vt:lpstr>ClientSFTPBPName2</vt:lpstr>
      <vt:lpstr>ClientSFTPBPName2Test</vt:lpstr>
      <vt:lpstr>ClientSFTPBPVersion1</vt:lpstr>
      <vt:lpstr>ClientSFTPBPVersion2</vt:lpstr>
      <vt:lpstr>ClientSFTPDNSOrIP</vt:lpstr>
      <vt:lpstr>ClientSFTPDNSOrIPTest</vt:lpstr>
      <vt:lpstr>ClientSFTPKhk</vt:lpstr>
      <vt:lpstr>ClientSFTPKhkTest</vt:lpstr>
      <vt:lpstr>ClientSFTPLoginName</vt:lpstr>
      <vt:lpstr>ClientSFTPLoginNameTest</vt:lpstr>
      <vt:lpstr>ClientSFTPMessageType1</vt:lpstr>
      <vt:lpstr>ClientSFTPMessageType2</vt:lpstr>
      <vt:lpstr>ClientSFTPPartnerInCamelNotation</vt:lpstr>
      <vt:lpstr>ClientSFTPPassword</vt:lpstr>
      <vt:lpstr>ClientSFTPPasswordTest</vt:lpstr>
      <vt:lpstr>ClientSFTPPort</vt:lpstr>
      <vt:lpstr>ClientSFTPPortTest</vt:lpstr>
      <vt:lpstr>ClientSFTPProfileName1</vt:lpstr>
      <vt:lpstr>ClientSFTPProfileName1Test</vt:lpstr>
      <vt:lpstr>ClientSFTPProfileName2</vt:lpstr>
      <vt:lpstr>ClientSFTPProfileName2Test</vt:lpstr>
      <vt:lpstr>ClientSFTPServerInsideDSVNetwork1</vt:lpstr>
      <vt:lpstr>ClientSFTPServerInsideDSVNetwork2</vt:lpstr>
      <vt:lpstr>ClientSFTPServerInsideDSVNetworkQuestion1</vt:lpstr>
      <vt:lpstr>ClientSFTPServerInsideDSVNetworkQuestion2</vt:lpstr>
      <vt:lpstr>ClientSFTPUik</vt:lpstr>
      <vt:lpstr>ClientSFTPUikTest</vt:lpstr>
      <vt:lpstr>ConfigureAS2</vt:lpstr>
      <vt:lpstr>ConfigureCertificates</vt:lpstr>
      <vt:lpstr>ConfigureControlNumbers</vt:lpstr>
      <vt:lpstr>ConfigureHTTPURIAdapter</vt:lpstr>
      <vt:lpstr>ConfigureMailboxes</vt:lpstr>
      <vt:lpstr>ConfigureMailClientAdapter</vt:lpstr>
      <vt:lpstr>ConfigureRoutingRule</vt:lpstr>
      <vt:lpstr>ConfigureSSHKeys</vt:lpstr>
      <vt:lpstr>CorporateEdiOrEbip</vt:lpstr>
      <vt:lpstr>DelayMailboxMessageType1</vt:lpstr>
      <vt:lpstr>DelayMailboxMessageType2</vt:lpstr>
      <vt:lpstr>DelayMailboxMessageType3</vt:lpstr>
      <vt:lpstr>DelayMailboxMessageType4</vt:lpstr>
      <vt:lpstr>DelayRootMailbox</vt:lpstr>
      <vt:lpstr>Direction</vt:lpstr>
      <vt:lpstr>DSVSystem</vt:lpstr>
      <vt:lpstr>DSVSystemAbbrToDescrVLOOKUP</vt:lpstr>
      <vt:lpstr>DSVSystemITX</vt:lpstr>
      <vt:lpstr>DSVSystemITXLookup</vt:lpstr>
      <vt:lpstr>EmailUser</vt:lpstr>
      <vt:lpstr>EmailUser5Characters</vt:lpstr>
      <vt:lpstr>Encoding</vt:lpstr>
      <vt:lpstr>environment</vt:lpstr>
      <vt:lpstr>Framework</vt:lpstr>
      <vt:lpstr>Frameworks</vt:lpstr>
      <vt:lpstr>FTPGETVersion1</vt:lpstr>
      <vt:lpstr>FWIdentityOrgNameTypes</vt:lpstr>
      <vt:lpstr>FWIdentityOrgNameTypesDescrVLOOKUP</vt:lpstr>
      <vt:lpstr>InboundRequired</vt:lpstr>
      <vt:lpstr>InboxOrOutbox</vt:lpstr>
      <vt:lpstr>'SFTP Client'!IsProtocolSFTP</vt:lpstr>
      <vt:lpstr>ITACFWRuleAbbreviation</vt:lpstr>
      <vt:lpstr>MailboxProtocol</vt:lpstr>
      <vt:lpstr>MailClientAdapterCACertificates</vt:lpstr>
      <vt:lpstr>Mandatory</vt:lpstr>
      <vt:lpstr>MapTypeOptions</vt:lpstr>
      <vt:lpstr>MessageTypeAbbrToDescrVLOOKUP</vt:lpstr>
      <vt:lpstr>MessageTypeLookup</vt:lpstr>
      <vt:lpstr>NumberOfCodeLists</vt:lpstr>
      <vt:lpstr>NumberOfMaps</vt:lpstr>
      <vt:lpstr>NumberOfStylesheets</vt:lpstr>
      <vt:lpstr>OrgNameType</vt:lpstr>
      <vt:lpstr>OutboundRequired</vt:lpstr>
      <vt:lpstr>PartnerDesignation</vt:lpstr>
      <vt:lpstr>PartnerInboxParentMailbox</vt:lpstr>
      <vt:lpstr>PartnerInCamelNotation</vt:lpstr>
      <vt:lpstr>PartnerName</vt:lpstr>
      <vt:lpstr>PartnerName3PP</vt:lpstr>
      <vt:lpstr>PartnerType</vt:lpstr>
      <vt:lpstr>PartnerTypeRootMailbox</vt:lpstr>
      <vt:lpstr>Platform</vt:lpstr>
      <vt:lpstr>ReceiveOrSend</vt:lpstr>
      <vt:lpstr>ResolvedPartnerId</vt:lpstr>
      <vt:lpstr>RITMNumber</vt:lpstr>
      <vt:lpstr>Source2DestinationFormatCombined</vt:lpstr>
      <vt:lpstr>SourceAndDestinationFormat</vt:lpstr>
      <vt:lpstr>SourceToDestinationFormatVLOOKUP</vt:lpstr>
      <vt:lpstr>SRQNumber</vt:lpstr>
      <vt:lpstr>TrueOrFalse</vt:lpstr>
      <vt:lpstr>TrustedDigitalCertificate</vt:lpstr>
      <vt:lpstr>TrustedDigitalCertificateTest</vt:lpstr>
      <vt:lpstr>TypeOfMap</vt:lpstr>
      <vt:lpstr>UnresolvedPartnerID</vt:lpstr>
      <vt:lpstr>UserAccount</vt:lpstr>
      <vt:lpstr>UserType</vt:lpstr>
      <vt:lpstr>UseSSL</vt:lpstr>
      <vt:lpstr>ValidEncodings</vt:lpstr>
      <vt:lpstr>YesOrNo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Dransfield - DSV</dc:creator>
  <cp:lastModifiedBy>Jens Loldrup Larsen - DSV</cp:lastModifiedBy>
  <cp:lastPrinted>2021-03-19T09:58:39Z</cp:lastPrinted>
  <dcterms:created xsi:type="dcterms:W3CDTF">2017-08-23T08:06:02Z</dcterms:created>
  <dcterms:modified xsi:type="dcterms:W3CDTF">2026-06-24T07:45:27Z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0x010100D180F2B93C9A5145B3E41FF36BF06933</vt:lpwstr>
  </property>
  <property fmtid="{D5CDD505-2E9C-101B-9397-08002B2CF9AE}" pid="3" name="MediaServiceImageTags">
    <vt:lpwstr/>
  </property>
  <property fmtid="{D5CDD505-2E9C-101B-9397-08002B2CF9AE}" pid="4" name="MSIP_Label_fc6c1fee-2f04-49ca-98cf-bcf61896c7fa_Enabled">
    <vt:lpwstr>true</vt:lpwstr>
  </property>
  <property fmtid="{D5CDD505-2E9C-101B-9397-08002B2CF9AE}" pid="5" name="MSIP_Label_fc6c1fee-2f04-49ca-98cf-bcf61896c7fa_SetDate">
    <vt:lpwstr>2025-01-02T14:33:07Z</vt:lpwstr>
  </property>
  <property fmtid="{D5CDD505-2E9C-101B-9397-08002B2CF9AE}" pid="6" name="MSIP_Label_fc6c1fee-2f04-49ca-98cf-bcf61896c7fa_Method">
    <vt:lpwstr>Standard</vt:lpwstr>
  </property>
  <property fmtid="{D5CDD505-2E9C-101B-9397-08002B2CF9AE}" pid="7" name="MSIP_Label_fc6c1fee-2f04-49ca-98cf-bcf61896c7fa_Name">
    <vt:lpwstr>Internal</vt:lpwstr>
  </property>
  <property fmtid="{D5CDD505-2E9C-101B-9397-08002B2CF9AE}" pid="8" name="MSIP_Label_fc6c1fee-2f04-49ca-98cf-bcf61896c7fa_SiteId">
    <vt:lpwstr>4a90c23a-3ece-4ef2-b857-522f23b8204c</vt:lpwstr>
  </property>
  <property fmtid="{D5CDD505-2E9C-101B-9397-08002B2CF9AE}" pid="9" name="MSIP_Label_fc6c1fee-2f04-49ca-98cf-bcf61896c7fa_ActionId">
    <vt:lpwstr>c8031236-36ad-44bd-9db4-8c0e84db9428</vt:lpwstr>
  </property>
  <property fmtid="{D5CDD505-2E9C-101B-9397-08002B2CF9AE}" pid="10" name="MSIP_Label_fc6c1fee-2f04-49ca-98cf-bcf61896c7fa_ContentBits">
    <vt:lpwstr>2</vt:lpwstr>
  </property>
</Properties>
</file>